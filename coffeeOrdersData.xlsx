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defaultThemeVersion="166925"/>
  <mc:AlternateContent xmlns:mc="http://schemas.openxmlformats.org/markup-compatibility/2006">
    <mc:Choice Requires="x15">
      <x15ac:absPath xmlns:x15ac="http://schemas.microsoft.com/office/spreadsheetml/2010/11/ac" url="/Users/kainyein/Downloads/"/>
    </mc:Choice>
  </mc:AlternateContent>
  <xr:revisionPtr revIDLastSave="0" documentId="13_ncr:1_{64102B8F-0D2E-C648-B21D-8BF9EDFAED54}" xr6:coauthVersionLast="47" xr6:coauthVersionMax="47" xr10:uidLastSave="{00000000-0000-0000-0000-000000000000}"/>
  <bookViews>
    <workbookView xWindow="0" yWindow="720" windowWidth="29400" windowHeight="18400" xr2:uid="{00000000-000D-0000-FFFF-FFFF00000000}"/>
  </bookViews>
  <sheets>
    <sheet name="DASHBOARD" sheetId="24" r:id="rId1"/>
    <sheet name="Total Sales " sheetId="18" r:id="rId2"/>
    <sheet name="CountryBarChart" sheetId="20" r:id="rId3"/>
    <sheet name="CountryBarChart (2)"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4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<sst xmlns="http://schemas.openxmlformats.org/spreadsheetml/2006/main" count="11128" uniqueCount="6221">
  <si>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</si>
  <si>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</si>
  <si>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</si>
  <si>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</si>
  <si>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</si>
  <si>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</si>
  <si>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</si>
  <si>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</si>
  <si>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</si>
  <si>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</si>
  <si>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</si>
  <si>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</si>
  <si>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</si>
  <si>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</si>
  <si>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</si>
  <si>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</si>
  <si>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</si>
  <si>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</si>
  <si>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</si>
  <si>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</si>
  <si>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</si>
  <si>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</si>
  <si>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</si>
  <si>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</si>
  <si>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</si>
  <si>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</si>
  <si>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</si>
  <si>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</si>
  <si>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</si>
  <si>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</si>
  <si>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</si>
  <si>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</si>
  <si>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</si>
  <si>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</si>
  <si>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</si>
  <si>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</si>
  <si>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</si>
  <si>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</si>
  <si>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</si>
  <si>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</si>
  <si>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</si>
  <si>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</si>
  <si>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</si>
  <si>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</si>
  <si>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</si>
  <si>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</si>
  <si>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</si>
  <si>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</si>
  <si>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</si>
  <si>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</si>
  <si>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</si>
  <si>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</si>
  <si>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</si>
  <si>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</si>
  <si>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</si>
  <si>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</si>
  <si>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</si>
  <si>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</si>
  <si>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</si>
  <si>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</si>
  <si>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</si>
  <si>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</si>
  <si>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</si>
  <si>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</si>
  <si>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</si>
  <si>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</si>
  <si>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</si>
  <si>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</si>
  <si>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</si>
  <si>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</si>
  <si>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</si>
  <si>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</si>
  <si>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</si>
  <si>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</si>
  <si>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</si>
  <si>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</si>
  <si>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</si>
  <si>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</si>
  <si>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</si>
  <si>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</si>
  <si>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</si>
  <si>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</si>
  <si>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</si>
  <si>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</si>
  <si>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</si>
  <si>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</si>
  <si>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</si>
  <si>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</si>
  <si>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</si>
  <si>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</si>
  <si>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</si>
  <si>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</si>
  <si>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</si>
  <si>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</si>
  <si>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</si>
  <si>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</si>
  <si>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</si>
  <si>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</si>
  <si>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</si>
  <si>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</si>
  <si>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</si>
  <si>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</si>
  <si>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</si>
  <si>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</si>
  <si>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</si>
  <si>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</si>
  <si>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</si>
  <si>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</si>
  <si>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</si>
  <si>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</si>
  <si>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</si>
  <si>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</si>
  <si>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</si>
  <si>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</si>
  <si>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</si>
  <si>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</si>
  <si>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</si>
  <si>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</si>
  <si>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</si>
  <si>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</si>
  <si>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</si>
  <si>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</si>
  <si>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</si>
  <si>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</si>
  <si>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</si>
  <si>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</si>
  <si>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</si>
  <si>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</si>
  <si>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</si>
  <si>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</si>
  <si>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</si>
  <si>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</si>
  <si>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</si>
  <si>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</si>
  <si>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</si>
  <si>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</si>
  <si>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</si>
  <si>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</si>
  <si>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</si>
  <si>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</si>
  <si>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</si>
  <si>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</si>
  <si>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</si>
  <si>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</si>
  <si>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</si>
  <si>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</si>
  <si>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</si>
  <si>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</si>
  <si>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</si>
  <si>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</si>
  <si>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</si>
  <si>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</si>
  <si>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</si>
  <si>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</si>
  <si>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</si>
  <si>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</si>
  <si>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</si>
  <si>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</si>
  <si>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</si>
  <si>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</si>
  <si>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</si>
  <si>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</si>
  <si>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</si>
  <si>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</si>
  <si>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</si>
  <si>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</si>
  <si>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</si>
  <si>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</si>
  <si>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</si>
  <si>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</si>
  <si>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</si>
  <si>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</si>
  <si>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</si>
  <si>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</si>
  <si>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</si>
  <si>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</si>
  <si>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</si>
  <si>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</si>
  <si>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</si>
  <si>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</si>
  <si>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</si>
  <si>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</si>
  <si>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</si>
  <si>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</si>
  <si>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</si>
  <si>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</si>
  <si>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</si>
  <si>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</si>
  <si>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</si>
  <si>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</si>
  <si>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</si>
  <si>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</si>
  <si>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</si>
  <si>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</si>
  <si>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</si>
  <si>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</si>
  <si>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</si>
  <si>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</si>
  <si>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</si>
  <si>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</si>
  <si>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</si>
  <si>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</si>
  <si>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</si>
  <si>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</si>
  <si>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</si>
  <si>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</si>
  <si>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</si>
  <si>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</si>
  <si>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</si>
  <si>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</si>
  <si>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</si>
  <si>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</si>
  <si>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</si>
  <si>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</si>
  <si>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</si>
  <si>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</si>
  <si>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</si>
  <si>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</si>
  <si>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</si>
  <si>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</si>
  <si>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</si>
  <si>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</si>
  <si>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</si>
  <si>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</si>
  <si>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</si>
  <si>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</si>
  <si>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</si>
  <si>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</si>
  <si>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</si>
  <si>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</si>
  <si>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</si>
  <si>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</si>
  <si>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</si>
  <si>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</si>
  <si>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</si>
  <si>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</si>
  <si>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</si>
  <si>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</si>
  <si>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</si>
  <si>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</si>
  <si>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</si>
  <si>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</si>
  <si>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</si>
  <si>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</si>
  <si>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</si>
  <si>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</si>
  <si>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</si>
  <si>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</si>
  <si>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</si>
  <si>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</si>
  <si>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</si>
  <si>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</si>
  <si>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</si>
  <si>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</si>
  <si>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</si>
  <si>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</si>
  <si>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</si>
  <si>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</si>
  <si>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</si>
  <si>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</si>
  <si>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</si>
  <si>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</si>
  <si>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</si>
  <si>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</si>
  <si>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</si>
  <si>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</si>
  <si>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</si>
  <si>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</si>
  <si>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</si>
  <si>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</si>
  <si>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</si>
  <si>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</si>
  <si>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</si>
  <si>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</si>
  <si>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</si>
  <si>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</si>
  <si>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</si>
  <si>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</si>
  <si>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</si>
  <si>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</si>
  <si>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</si>
  <si>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</si>
  <si>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</si>
  <si>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</si>
  <si>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</si>
  <si>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</si>
  <si>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</si>
  <si>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</si>
  <si>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</si>
  <si>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</si>
  <si>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</si>
  <si>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</si>
  <si>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</si>
  <si>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</si>
  <si>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</si>
  <si>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</si>
  <si>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</si>
  <si>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</si>
  <si>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</si>
  <si>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</si>
  <si>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</si>
  <si>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</si>
  <si>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</si>
  <si>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</si>
  <si>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</si>
  <si>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</si>
  <si>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</si>
  <si>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</si>
  <si>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</si>
  <si>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</si>
  <si>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</si>
  <si>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</si>
  <si>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</si>
  <si>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</si>
  <si>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</si>
  <si>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</si>
  <si>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</si>
  <si>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</si>
  <si>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</si>
  <si>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</si>
  <si>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</si>
  <si>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</si>
  <si>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</si>
  <si>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</si>
  <si>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</si>
  <si>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</si>
  <si>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</si>
  <si>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</si>
  <si>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</si>
  <si>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</si>
  <si>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</si>
  <si>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</si>
  <si>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</si>
  <si>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</si>
  <si>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</si>
  <si>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</si>
  <si>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</si>
  <si>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</si>
  <si>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</si>
  <si>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</si>
  <si>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</si>
  <si>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</si>
  <si>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</si>
  <si>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</si>
  <si>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</si>
  <si>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</si>
  <si>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</si>
  <si>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</si>
  <si>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</si>
  <si>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</si>
  <si>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</si>
  <si>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</si>
  <si>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</si>
  <si>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</si>
  <si>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</si>
  <si>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</si>
  <si>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</si>
  <si>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</si>
  <si>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</si>
  <si>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</si>
  <si>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</si>
  <si>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</si>
  <si>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</si>
  <si>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</si>
  <si>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</si>
  <si>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</si>
  <si>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</si>
  <si>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</si>
  <si>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</si>
  <si>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</si>
  <si>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</si>
  <si>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</si>
  <si>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</si>
  <si>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</si>
  <si>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</si>
  <si>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</si>
  <si>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</si>
  <si>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</si>
  <si>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</si>
  <si>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</si>
  <si>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</si>
  <si>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</si>
  <si>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</si>
  <si>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</si>
  <si>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</si>
  <si>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</si>
  <si>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</si>
  <si>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</si>
  <si>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</si>
  <si>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</si>
  <si>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</si>
  <si>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</si>
  <si>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</si>
  <si>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</si>
  <si>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</si>
  <si>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</si>
  <si>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</si>
  <si>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</si>
  <si>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</si>
  <si>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</si>
  <si>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</si>
  <si>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</si>
  <si>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</si>
  <si>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</si>
  <si>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</si>
  <si>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</si>
  <si>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</si>
  <si>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</si>
  <si>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</si>
  <si>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</si>
  <si>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</si>
  <si>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</si>
  <si>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</si>
  <si>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</si>
  <si>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</si>
  <si>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</si>
  <si>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</si>
  <si>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</si>
  <si>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</si>
  <si>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</si>
  <si>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</si>
  <si>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</si>
  <si>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</si>
  <si>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</si>
  <si>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</si>
  <si>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</si>
  <si>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</si>
  <si>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</si>
  <si>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</si>
  <si>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</si>
  <si>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</si>
  <si>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</si>
  <si>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</si>
  <si>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</si>
  <si>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</si>
  <si>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</si>
  <si>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</si>
  <si>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</si>
  <si>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</si>
  <si>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</si>
  <si>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</si>
  <si>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</si>
  <si>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</si>
  <si>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</si>
  <si>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</si>
  <si>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</si>
  <si>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</si>
  <si>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</si>
  <si>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</si>
  <si>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</si>
  <si>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</si>
  <si>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</si>
  <si>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</si>
  <si>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</si>
  <si>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</si>
  <si>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</si>
  <si>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</si>
  <si>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</si>
  <si>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</si>
  <si>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</si>
  <si>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</si>
  <si>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</si>
  <si>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</si>
  <si>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</si>
  <si>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</si>
  <si>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</si>
  <si>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</si>
  <si>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</si>
  <si>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</si>
  <si>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</si>
  <si>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</si>
  <si>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</si>
  <si>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</si>
  <si>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</si>
  <si>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</si>
  <si>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</si>
  <si>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</si>
  <si>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</si>
  <si>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</si>
  <si>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</si>
  <si>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</si>
  <si>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</si>
  <si>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</si>
  <si>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</si>
  <si>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</si>
  <si>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</si>
  <si>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</si>
  <si>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</si>
  <si>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</si>
  <si>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</si>
  <si>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</si>
  <si>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</si>
  <si>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</si>
  <si>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</si>
  <si>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</si>
  <si>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</si>
  <si>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</si>
  <si>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</si>
  <si>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</si>
  <si>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</si>
  <si>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</si>
  <si>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</si>
  <si>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</si>
  <si>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</si>
  <si>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</si>
  <si>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</si>
  <si>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</si>
  <si>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</si>
  <si>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</si>
  <si>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</si>
  <si>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</si>
  <si>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</si>
  <si>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</si>
  <si>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</si>
  <si>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</si>
  <si>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</si>
  <si>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</si>
  <si>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</si>
  <si>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</si>
  <si>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</si>
  <si>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</si>
  <si>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</si>
  <si>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</si>
  <si>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</si>
  <si>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</si>
  <si>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</si>
  <si>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</si>
  <si>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</si>
  <si>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</si>
  <si>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</si>
  <si>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</si>
  <si>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</si>
  <si>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</si>
  <si>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</si>
  <si>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</si>
  <si>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</si>
  <si>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</si>
  <si>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</si>
  <si>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</si>
  <si>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</si>
  <si>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</si>
  <si>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</si>
  <si>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</si>
  <si>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</si>
  <si>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</si>
  <si>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</si>
  <si>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</si>
  <si>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</si>
  <si>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</si>
  <si>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</si>
  <si>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</si>
  <si>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</si>
  <si>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</si>
  <si>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</si>
  <si>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</si>
  <si>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</si>
  <si>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</si>
  <si>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</si>
  <si>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</si>
  <si>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</si>
  <si>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</si>
  <si>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</si>
  <si>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</si>
  <si>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</si>
  <si>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</si>
  <si>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</si>
  <si>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</si>
  <si>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</si>
  <si>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</si>
  <si>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</si>
  <si>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</si>
  <si>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</si>
  <si>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</si>
  <si>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</si>
  <si>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</si>
  <si>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</si>
  <si>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</si>
  <si>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</si>
  <si>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</si>
  <si>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</si>
  <si>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</si>
  <si>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</si>
  <si>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</si>
  <si>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</si>
  <si>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</si>
  <si>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</si>
  <si>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</si>
  <si>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</si>
  <si>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</si>
  <si>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</si>
  <si>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</si>
  <si>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</si>
  <si>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</si>
  <si>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</si>
  <si>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</si>
  <si>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</si>
  <si>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</si>
  <si>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</si>
  <si>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</si>
  <si>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</si>
  <si>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</si>
  <si>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</si>
  <si>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</si>
  <si>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</si>
  <si>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</si>
  <si>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</si>
  <si>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</si>
  <si>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</si>
  <si>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</si>
  <si>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</si>
  <si>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</si>
  <si>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</si>
  <si>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</si>
  <si>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</si>
  <si>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</si>
  <si>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</si>
  <si>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</si>
  <si>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</si>
  <si>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</si>
  <si>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</si>
  <si>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</si>
  <si>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</si>
  <si>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</si>
  <si>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</si>
  <si>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</si>
  <si>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</si>
  <si>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</si>
  <si>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</si>
  <si>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</si>
  <si>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</si>
  <si>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</si>
  <si>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</si>
  <si>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</si>
  <si>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</si>
  <si>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</si>
  <si>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</si>
  <si>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</si>
  <si>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</si>
  <si>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</si>
  <si>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</si>
  <si>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</si>
  <si>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</si>
  <si>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</si>
  <si>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</si>
  <si>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</si>
  <si>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</si>
  <si>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</si>
  <si>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</si>
  <si>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</si>
  <si>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</si>
  <si>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</si>
  <si>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</si>
  <si>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</si>
  <si>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</si>
  <si>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</si>
  <si>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</si>
  <si>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</si>
  <si>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</si>
  <si>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</si>
  <si>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</si>
  <si>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</si>
  <si>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</si>
  <si>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</si>
  <si>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</si>
  <si>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</si>
  <si>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</si>
  <si>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</si>
  <si>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</si>
  <si>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</si>
  <si>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</si>
  <si>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</si>
  <si>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</si>
  <si>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</si>
  <si>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</si>
  <si>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</si>
  <si>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</si>
  <si>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</si>
  <si>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</si>
  <si>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</si>
  <si>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</si>
  <si>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</si>
  <si>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</si>
  <si>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</si>
  <si>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</si>
  <si>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</si>
  <si>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</si>
  <si>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</si>
  <si>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</si>
  <si>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</si>
  <si>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</si>
  <si>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</si>
  <si>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</si>
  <si>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</si>
  <si>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</si>
  <si>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</si>
  <si>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</si>
  <si>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</si>
  <si>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</si>
  <si>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</si>
  <si>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</si>
  <si>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</si>
  <si>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</si>
  <si>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</si>
  <si>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</si>
  <si>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</si>
  <si>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</si>
  <si>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</si>
  <si>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</si>
  <si>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</si>
  <si>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</si>
  <si>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</si>
  <si>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</si>
  <si>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</si>
  <si>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</si>
  <si>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</si>
  <si>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</si>
  <si>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</si>
  <si>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</si>
  <si>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</si>
  <si>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</si>
  <si>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</si>
  <si>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</si>
  <si>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</si>
  <si>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</si>
  <si>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</si>
  <si>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</si>
  <si>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</si>
  <si>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</si>
  <si>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</si>
  <si>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</si>
  <si>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</si>
  <si>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</si>
  <si>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</si>
  <si>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</si>
  <si>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</si>
  <si>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</si>
  <si>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</si>
  <si>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</si>
  <si>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</si>
  <si>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</si>
  <si>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</si>
  <si>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</si>
  <si>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</si>
  <si>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</si>
  <si>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</si>
  <si>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</si>
  <si>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</si>
  <si>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</si>
  <si>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</si>
  <si>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</si>
  <si>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</si>
  <si>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</si>
  <si>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</si>
  <si>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</si>
  <si>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</si>
  <si>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</si>
  <si>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</si>
  <si>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</si>
  <si>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</si>
  <si>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</si>
  <si>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</si>
  <si>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</si>
  <si>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</si>
  <si>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</si>
  <si>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</si>
  <si>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</si>
  <si>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</si>
  <si>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</si>
  <si>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</si>
  <si>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</si>
  <si>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</si>
  <si>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</si>
  <si>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</si>
  <si>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</si>
  <si>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</si>
  <si>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</si>
  <si>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</si>
  <si>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</si>
  <si>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</si>
  <si>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</si>
  <si>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</si>
  <si>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</si>
  <si>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</si>
  <si>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</si>
  <si>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</si>
  <si>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</si>
  <si>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</si>
  <si>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</si>
  <si>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</si>
  <si>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</si>
  <si>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</si>
  <si>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</si>
  <si>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</si>
  <si>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</si>
  <si>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</si>
  <si>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</si>
  <si>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</si>
  <si>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</si>
  <si>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</si>
  <si>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</si>
  <si>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</si>
  <si>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</si>
  <si>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</si>
  <si>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</si>
  <si>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</si>
  <si>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</si>
  <si>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</si>
  <si>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</si>
  <si>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</si>
  <si>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</si>
  <si>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</si>
  <si>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</si>
  <si>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</si>
  <si>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</si>
  <si>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</si>
  <si>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</si>
  <si>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</si>
  <si>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</si>
  <si>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</si>
  <si>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</si>
  <si>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</si>
  <si>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</si>
  <si>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</si>
  <si>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</si>
  <si>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</si>
  <si>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</si>
  <si>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</si>
  <si>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</si>
  <si>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</si>
  <si>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</si>
  <si>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</si>
  <si>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</si>
  <si>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</si>
  <si>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</si>
  <si>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</si>
  <si>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</si>
  <si>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</si>
  <si>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</si>
  <si>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</si>
  <si>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</si>
  <si>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</si>
  <si>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</si>
  <si>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</si>
  <si>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</si>
  <si>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</si>
  <si>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</si>
  <si>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</si>
  <si>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</si>
  <si>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</si>
  <si>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</si>
  <si>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</si>
  <si>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</si>
  <si>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</si>
  <si>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</si>
  <si>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</si>
  <si>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</si>
  <si>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</si>
  <si>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</si>
  <si>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</si>
  <si>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</si>
  <si>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</si>
  <si>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</si>
  <si>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</si>
  <si>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</si>
  <si>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</si>
  <si>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</si>
  <si>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</si>
  <si>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</si>
  <si>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</si>
  <si>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</si>
  <si>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</si>
  <si>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</si>
  <si>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</si>
  <si>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</si>
  <si>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</si>
  <si>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</si>
  <si>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</si>
  <si>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</si>
  <si>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</si>
  <si>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</si>
  <si>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</si>
  <si>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</si>
  <si>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</si>
  <si>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</si>
  <si>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</si>
  <si>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</si>
  <si>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</si>
  <si>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</si>
  <si>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</si>
  <si>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</si>
  <si>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</si>
  <si>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</si>
  <si>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</si>
  <si>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</si>
  <si>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</si>
  <si>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</si>
  <si>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</si>
  <si>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</si>
  <si>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</si>
  <si>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</si>
  <si>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</si>
  <si>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</si>
  <si>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</si>
  <si>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</si>
  <si>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</si>
  <si>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</si>
  <si>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</si>
  <si>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</si>
  <si>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</si>
  <si>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</si>
  <si>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</si>
  <si>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</si>
  <si>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</si>
  <si>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</si>
  <si>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</si>
  <si>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</si>
  <si>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</si>
  <si>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</si>
  <si>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</si>
  <si>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</si>
  <si>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</si>
  <si>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</si>
  <si>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</si>
  <si>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</si>
  <si>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</si>
  <si>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</si>
  <si>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</si>
  <si>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</si>
  <si>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</si>
  <si>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</si>
  <si>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</si>
  <si>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</si>
  <si>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</si>
  <si>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</si>
  <si>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</si>
  <si>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</si>
  <si>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</si>
  <si>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</si>
  <si>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</si>
  <si>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</si>
  <si>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</si>
  <si>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</si>
  <si>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</si>
  <si>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</si>
  <si>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</si>
  <si>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</si>
  <si>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</si>
  <si>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</si>
  <si>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</si>
  <si>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</si>
  <si>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</si>
  <si>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</si>
  <si>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</si>
  <si>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</si>
  <si>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</si>
  <si>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</si>
  <si>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</si>
  <si>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</si>
  <si>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</si>
  <si>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</si>
  <si>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</si>
  <si>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</si>
  <si>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</si>
  <si>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</si>
  <si>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</si>
  <si>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</si>
  <si>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</si>
  <si>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</si>
  <si>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</si>
  <si>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</si>
  <si>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</si>
  <si>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</si>
  <si>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</si>
  <si>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</si>
  <si>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</si>
  <si>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</si>
  <si>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</si>
  <si>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</si>
  <si>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</si>
  <si>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</si>
  <si>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</si>
  <si>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</si>
  <si>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</si>
  <si>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</si>
  <si>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</si>
  <si>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</si>
  <si>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</si>
  <si>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</si>
  <si>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</si>
  <si>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</si>
  <si>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</si>
  <si>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</si>
  <si>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</si>
  <si>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</si>
  <si>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</si>
  <si>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</si>
  <si>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</si>
  <si>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</si>
  <si>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</si>
  <si>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</si>
  <si>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</si>
  <si>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</si>
  <si>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</si>
  <si>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</si>
  <si>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</si>
  <si>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</si>
  <si>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</si>
  <si>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</si>
  <si>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</si>
  <si>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</si>
  <si>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</si>
  <si>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</si>
  <si>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</si>
  <si>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</si>
  <si>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</si>
  <si>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</si>
  <si>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</si>
  <si>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</si>
  <si>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</si>
  <si>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</si>
  <si>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</si>
  <si>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</si>
  <si>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</si>
  <si>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</si>
  <si>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</si>
  <si>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</si>
  <si>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</si>
  <si>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</si>
  <si>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</si>
  <si>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</si>
  <si>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</si>
  <si>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</si>
  <si>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</si>
  <si>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</si>
  <si>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</si>
  <si>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</si>
  <si>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</si>
  <si>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</si>
  <si>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</si>
  <si>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</si>
  <si>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</si>
  <si>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</si>
  <si>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</si>
  <si>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</si>
  <si>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</si>
  <si>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</si>
  <si>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</si>
  <si>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</si>
  <si>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</si>
  <si>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</si>
  <si>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</si>
  <si>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</si>
  <si>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</si>
  <si>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</si>
  <si>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</si>
  <si>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</si>
  <si>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</si>
  <si>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</si>
  <si>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</si>
  <si>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</si>
  <si>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</si>
  <si>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</si>
  <si>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</si>
  <si>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</si>
  <si>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</si>
  <si>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</si>
  <si>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</si>
  <si>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</si>
  <si>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</si>
  <si>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</si>
  <si>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</si>
  <si>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</si>
  <si>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</si>
  <si>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</si>
  <si>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</si>
  <si>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</si>
  <si>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</si>
  <si>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</si>
  <si>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</si>
  <si>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</si>
  <si>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</si>
  <si>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</si>
  <si>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</si>
  <si>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</si>
  <si>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</si>
  <si>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</si>
  <si>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</si>
  <si>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</si>
  <si>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</si>
  <si>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</si>
  <si>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</si>
  <si>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</si>
  <si>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</si>
  <si>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</si>
  <si>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</si>
  <si>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</si>
  <si>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</si>
  <si>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</si>
  <si>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</si>
  <si>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</si>
  <si>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</si>
  <si>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</si>
  <si>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</si>
  <si>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</si>
  <si>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</si>
  <si>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</si>
  <si>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</si>
  <si>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</si>
  <si>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</si>
  <si>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</si>
  <si>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</si>
  <si>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</si>
  <si>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</si>
  <si>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</si>
  <si>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</si>
  <si>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</si>
  <si>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</si>
  <si>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</si>
  <si>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</si>
  <si>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</si>
  <si>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</si>
  <si>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</si>
  <si>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</si>
  <si>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</si>
  <si>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</si>
  <si>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</si>
  <si>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</si>
  <si>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</si>
  <si>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</si>
  <si>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</si>
  <si>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</si>
  <si>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</si>
  <si>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</si>
  <si>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</si>
  <si>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</si>
  <si>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</si>
  <si>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</si>
  <si>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</si>
  <si>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</si>
  <si>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</si>
  <si>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</si>
  <si>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</si>
  <si>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</si>
  <si>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</si>
  <si>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</si>
  <si>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</si>
  <si>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</si>
  <si>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</si>
  <si>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</si>
  <si>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</si>
  <si>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</si>
  <si>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</si>
  <si>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</si>
  <si>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</si>
  <si>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</si>
  <si>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</si>
  <si>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</si>
  <si>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</si>
  <si>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</si>
  <si>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</si>
  <si>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</si>
  <si>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</si>
  <si>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</si>
  <si>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</si>
  <si>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</si>
  <si>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</si>
  <si>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</si>
  <si>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</si>
  <si>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</si>
  <si>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</si>
  <si>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</si>
  <si>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</si>
  <si>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</si>
  <si>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</si>
  <si>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</si>
  <si>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</si>
  <si>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</si>
  <si>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</si>
  <si>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</si>
  <si>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</si>
  <si>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</si>
  <si>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</si>
  <si>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</si>
  <si>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</si>
  <si>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</si>
  <si>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</si>
  <si>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</si>
  <si>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</si>
  <si>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</si>
  <si>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</si>
  <si>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</si>
  <si>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</si>
  <si>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</si>
  <si>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</si>
  <si>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</si>
  <si>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</si>
  <si>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</si>
  <si>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</si>
  <si>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</si>
  <si>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</si>
  <si>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</si>
  <si>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</si>
  <si>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</si>
  <si>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</si>
  <si>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</si>
  <si>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</si>
  <si>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</si>
  <si>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</si>
  <si>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</si>
  <si>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</si>
  <si>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</si>
  <si>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</si>
  <si>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</si>
  <si>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</si>
  <si>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</si>
  <si>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</si>
  <si>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</si>
  <si>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</si>
  <si>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</si>
  <si>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</si>
  <si>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</si>
  <si>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</si>
  <si>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</si>
  <si>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</si>
  <si>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</si>
  <si>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</si>
  <si>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</si>
  <si>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</si>
  <si>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</si>
  <si>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</si>
  <si>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</si>
  <si>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</si>
  <si>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</si>
  <si>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</si>
  <si>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</si>
  <si>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</si>
  <si>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</si>
  <si>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</si>
  <si>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</si>
  <si>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</si>
  <si>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</si>
  <si>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</si>
  <si>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</si>
  <si>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</si>
  <si>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</si>
  <si>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</si>
  <si>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</si>
  <si>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</si>
  <si>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</si>
  <si>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</si>
  <si>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</si>
  <si>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</si>
  <si>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</si>
  <si>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</si>
  <si>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</si>
  <si>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</si>
  <si>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</si>
  <si>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</si>
  <si>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</si>
  <si>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</si>
  <si>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</si>
  <si>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</si>
  <si>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</si>
  <si>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</si>
  <si>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</si>
  <si>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</si>
  <si>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</si>
  <si>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</si>
  <si>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</si>
  <si>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</si>
  <si>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</si>
  <si>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</si>
  <si>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</si>
  <si>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</si>
  <si>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</si>
  <si>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</si>
  <si>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</si>
  <si>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</si>
  <si>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</si>
  <si>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</si>
  <si>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</si>
  <si>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</si>
  <si>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</si>
  <si>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</si>
  <si>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</si>
  <si>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</si>
  <si>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</si>
  <si>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</si>
  <si>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</si>
  <si>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</si>
  <si>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</si>
  <si>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</si>
  <si>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</si>
  <si>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</si>
  <si>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</si>
  <si>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</si>
  <si>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</si>
  <si>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</si>
  <si>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</si>
  <si>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</si>
  <si>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</si>
  <si>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</si>
  <si>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</si>
  <si>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</si>
  <si>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</si>
  <si>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</si>
  <si>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</si>
  <si>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</si>
  <si>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</si>
  <si>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</si>
  <si>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</si>
  <si>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</si>
  <si>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</si>
  <si>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</si>
  <si>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</si>
  <si>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</si>
  <si>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</si>
  <si>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</si>
  <si>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</si>
  <si>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</si>
  <si>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</si>
  <si>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</si>
  <si>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</si>
  <si>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</si>
  <si>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</si>
  <si>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</si>
  <si>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</si>
  <si>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</si>
  <si>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</si>
  <si>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</si>
  <si>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</si>
  <si>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</si>
  <si>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</si>
  <si>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</si>
  <si>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</si>
  <si>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</si>
  <si>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</si>
  <si>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</si>
  <si>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</si>
  <si>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</si>
  <si>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</si>
  <si>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</si>
  <si>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</si>
  <si>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</si>
  <si>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</si>
  <si>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</si>
  <si>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</si>
  <si>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</si>
  <si>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</si>
  <si>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</si>
  <si>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</si>
  <si>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</si>
  <si>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</si>
  <si>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</si>
  <si>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</si>
  <si>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</si>
  <si>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</si>
  <si>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</si>
  <si>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</si>
  <si>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</si>
  <si>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</si>
  <si>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</si>
  <si>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</si>
  <si>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</si>
  <si>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</si>
  <si>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</si>
  <si>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</si>
  <si>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</si>
  <si>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</si>
  <si>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</si>
  <si>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</si>
  <si>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</si>
  <si>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</si>
  <si>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</si>
  <si>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</si>
  <si>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</si>
  <si>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</si>
  <si>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</si>
  <si>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</si>
  <si>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</si>
  <si>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</si>
  <si>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</si>
  <si>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</si>
  <si>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</si>
  <si>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</si>
  <si>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</si>
  <si>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</si>
  <si>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</si>
  <si>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</si>
  <si>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</si>
  <si>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</si>
  <si>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</si>
  <si>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</si>
  <si>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</si>
  <si>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</si>
  <si>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</si>
  <si>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</si>
  <si>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</si>
  <si>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</si>
  <si>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</si>
  <si>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</si>
  <si>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</si>
  <si>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</si>
  <si>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</si>
  <si>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</si>
  <si>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</si>
  <si>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</si>
  <si>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</si>
  <si>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</si>
  <si>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</si>
  <si>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</si>
  <si>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</si>
  <si>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</si>
  <si>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</si>
  <si>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</si>
  <si>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</si>
  <si>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</si>
  <si>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</si>
  <si>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</si>
  <si>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</si>
  <si>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</si>
  <si>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</si>
  <si>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</si>
  <si>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</si>
  <si>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</si>
  <si>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</si>
  <si>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</si>
  <si>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</si>
  <si>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</si>
  <si>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</si>
  <si>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</si>
  <si>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</si>
  <si>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</si>
  <si>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</si>
  <si>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</si>
  <si>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</si>
  <si>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</si>
  <si>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</si>
  <si>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</si>
  <si>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</si>
  <si>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</si>
  <si>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</si>
  <si>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</si>
  <si>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</si>
  <si>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</si>
  <si>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</si>
  <si>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</si>
  <si>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</si>
  <si>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</si>
  <si>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</si>
  <si>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</si>
  <si>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</si>
  <si>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</si>
  <si>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</si>
  <si>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</si>
  <si>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</si>
  <si>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</si>
  <si>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</si>
  <si>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</si>
  <si>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</si>
  <si>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</si>
  <si>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</si>
  <si>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</si>
  <si>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</si>
  <si>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</si>
  <si>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</si>
  <si>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</si>
  <si>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</si>
  <si>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</si>
  <si>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</si>
  <si>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</si>
  <si>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</si>
  <si>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</si>
  <si>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</si>
  <si>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</si>
  <si>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</si>
  <si>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</si>
  <si>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</si>
  <si>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</si>
  <si>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</si>
  <si>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</si>
  <si>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</si>
  <si>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</si>
  <si>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</si>
  <si>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</si>
  <si>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</si>
  <si>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</si>
  <si>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</si>
  <si>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</si>
  <si>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</si>
  <si>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</si>
  <si>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</si>
  <si>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</si>
  <si>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</si>
  <si>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</si>
  <si>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</si>
  <si>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</si>
  <si>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</si>
  <si>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</si>
  <si>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</si>
  <si>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</si>
  <si>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</si>
  <si>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</si>
  <si>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</si>
  <si>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</si>
  <si>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</si>
  <si>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</si>
  <si>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</si>
  <si>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</si>
  <si>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</si>
  <si>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</si>
  <si>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</si>
  <si>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</si>
  <si>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</si>
  <si>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</si>
  <si>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</si>
  <si>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</si>
  <si>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</si>
  <si>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</si>
  <si>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</si>
  <si>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</si>
  <si>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</si>
  <si>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</si>
  <si>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</si>
  <si>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</si>
  <si>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</si>
  <si>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</si>
  <si>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</si>
  <si>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</si>
  <si>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</si>
  <si>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</si>
  <si>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</si>
  <si>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</si>
  <si>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</si>
  <si>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</si>
  <si>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</si>
  <si>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</si>
  <si>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</si>
  <si>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</si>
  <si>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</si>
  <si>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</si>
  <si>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</si>
  <si>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</si>
  <si>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</si>
  <si>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</si>
  <si>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</si>
  <si>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</si>
  <si>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</si>
  <si>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</si>
  <si>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</si>
  <si>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</si>
  <si>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</si>
  <si>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</si>
  <si>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</si>
  <si>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</si>
  <si>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</si>
  <si>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</si>
  <si>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</si>
  <si>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</si>
  <si>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</si>
  <si>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</si>
  <si>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</si>
  <si>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</si>
  <si>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</si>
  <si>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</si>
  <si>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</si>
  <si>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</si>
  <si>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</si>
  <si>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</si>
  <si>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</si>
  <si>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</si>
  <si>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</si>
  <si>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</si>
  <si>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</si>
  <si>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</si>
  <si>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</si>
  <si>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</si>
  <si>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</si>
  <si>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</si>
  <si>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</si>
  <si>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</si>
  <si>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</si>
  <si>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</si>
  <si>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</si>
  <si>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</si>
  <si>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</si>
  <si>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</si>
  <si>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</si>
  <si>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</si>
  <si>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</si>
  <si>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</si>
  <si>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</si>
  <si>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</si>
  <si>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</si>
  <si>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</si>
  <si>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</si>
  <si>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</si>
  <si>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</si>
  <si>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</si>
  <si>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</si>
  <si>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</si>
  <si>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</si>
  <si>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</si>
  <si>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</si>
  <si>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</si>
  <si>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</si>
  <si>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</si>
  <si>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</si>
  <si>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</si>
  <si>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</si>
  <si>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</si>
  <si>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</si>
  <si>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</si>
  <si>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</si>
  <si>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</si>
  <si>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</si>
  <si>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</si>
  <si>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</si>
  <si>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</si>
  <si>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</si>
  <si>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</si>
  <si>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</si>
  <si>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</si>
  <si>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</si>
  <si>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</si>
  <si>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</si>
  <si>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</si>
  <si>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</si>
  <si>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</si>
  <si>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</si>
  <si>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</si>
  <si>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</si>
  <si>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</si>
  <si>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</si>
  <si>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</si>
  <si>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</si>
  <si>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</si>
  <si>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</si>
  <si>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</si>
  <si>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</si>
  <si>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</si>
  <si>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</si>
  <si>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</si>
  <si>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</si>
  <si>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</si>
  <si>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</si>
  <si>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</si>
  <si>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</si>
  <si>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</si>
  <si>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</si>
  <si>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</si>
  <si>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</si>
  <si>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</si>
  <si>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</si>
  <si>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</si>
  <si>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</si>
  <si>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</si>
  <si>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</si>
  <si>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</si>
  <si>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</si>
  <si>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</si>
  <si>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</si>
  <si>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</si>
  <si>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</si>
  <si>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</si>
  <si>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</si>
  <si>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</si>
  <si>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</si>
  <si>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</si>
  <si>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</si>
  <si>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</si>
  <si>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</si>
  <si>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</si>
  <si>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</si>
  <si>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</si>
  <si>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</si>
  <si>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</si>
  <si>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</si>
  <si>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</si>
  <si>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</si>
  <si>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</si>
  <si>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</si>
  <si>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</si>
  <si>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</si>
  <si>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</si>
  <si>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</si>
  <si>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</si>
  <si>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</si>
  <si>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</si>
  <si>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</si>
  <si>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</si>
  <si>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</si>
  <si>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</si>
  <si>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</si>
  <si>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</si>
  <si>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</si>
  <si>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</si>
  <si>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</si>
  <si>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</si>
  <si>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</si>
  <si>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</si>
  <si>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</si>
  <si>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</si>
  <si>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</si>
  <si>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</si>
  <si>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</si>
  <si>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</si>
  <si>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</si>
  <si>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</si>
  <si>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</si>
  <si>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</si>
  <si>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</si>
  <si>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</si>
  <si>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</si>
  <si>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</si>
  <si>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</si>
  <si>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</si>
  <si>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</si>
  <si>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</si>
  <si>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</si>
  <si>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</si>
  <si>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</si>
  <si>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</si>
  <si>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</si>
  <si>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</si>
  <si>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</si>
  <si>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</si>
  <si>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</si>
  <si>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</si>
  <si>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</si>
  <si>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</si>
  <si>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</si>
  <si>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</si>
  <si>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</si>
  <si>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</si>
  <si>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</si>
  <si>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</si>
  <si>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</si>
  <si>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</si>
  <si>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</si>
  <si>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</si>
  <si>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</si>
  <si>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</si>
  <si>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</si>
  <si>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</si>
  <si>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</si>
  <si>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</si>
  <si>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</si>
  <si>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</si>
  <si>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</si>
  <si>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</si>
  <si>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</si>
  <si>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</si>
  <si>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</si>
  <si>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</si>
  <si>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</si>
  <si>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</si>
  <si>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</si>
  <si>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</si>
  <si>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</si>
  <si>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</si>
  <si>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</si>
  <si>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</si>
  <si>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</si>
  <si>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</si>
  <si>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</si>
  <si>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</si>
  <si>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</si>
  <si>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</si>
  <si>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</si>
  <si>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</si>
  <si>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</si>
  <si>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</si>
  <si>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</si>
  <si>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</si>
  <si>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</si>
  <si>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</si>
  <si>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</si>
  <si>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</si>
  <si>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</si>
  <si>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</si>
  <si>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</si>
  <si>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</si>
  <si>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</si>
  <si>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</si>
  <si>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</si>
  <si>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</si>
  <si>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</si>
  <si>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</si>
  <si>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</si>
  <si>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</si>
  <si>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</si>
  <si>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</si>
  <si>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</si>
  <si>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</si>
  <si>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</si>
  <si>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</si>
  <si>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</si>
  <si>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</si>
  <si>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</si>
  <si>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</si>
  <si>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</si>
  <si>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</si>
  <si>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</si>
  <si>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</si>
  <si>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</si>
  <si>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</si>
  <si>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</si>
  <si>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</si>
  <si>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</si>
  <si>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</si>
  <si>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</si>
  <si>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</si>
  <si>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</si>
  <si>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</si>
  <si>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</si>
  <si>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</si>
  <si>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</si>
  <si>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</si>
  <si>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</si>
  <si>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</si>
  <si>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</si>
  <si>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</si>
  <si>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</si>
  <si>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</si>
  <si>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</si>
  <si>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</si>
  <si>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</si>
  <si>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</si>
  <si>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</si>
  <si>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</si>
  <si>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</si>
  <si>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</si>
  <si>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</si>
  <si>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</si>
  <si>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</si>
  <si>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</si>
  <si>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</si>
  <si>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</si>
  <si>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</si>
  <si>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</si>
  <si>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</si>
  <si>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</si>
  <si>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</si>
  <si>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</si>
  <si>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</si>
  <si>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</si>
  <si>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</si>
  <si>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</si>
  <si>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</si>
  <si>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</si>
  <si>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</si>
  <si>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</si>
  <si>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</si>
  <si>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</si>
  <si>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</si>
  <si>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</si>
  <si>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</si>
  <si>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</si>
  <si>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</si>
  <si>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</si>
  <si>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</si>
  <si>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</si>
  <si>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</si>
  <si>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</si>
  <si>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</si>
  <si>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</si>
  <si>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</si>
  <si>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</si>
  <si>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</si>
  <si>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</si>
  <si>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</si>
  <si>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</si>
  <si>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</si>
  <si>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</si>
  <si>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</si>
  <si>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</si>
  <si>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</si>
  <si>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</si>
  <si>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</si>
  <si>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</si>
  <si>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</si>
  <si>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</si>
  <si>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</si>
  <si>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</si>
  <si>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</si>
  <si>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</si>
  <si>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</si>
  <si>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</si>
  <si>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</si>
  <si>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</si>
  <si>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</si>
  <si>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</si>
  <si>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</si>
  <si>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</si>
  <si>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</si>
  <si>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</si>
  <si>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</si>
  <si>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</si>
  <si>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</si>
  <si>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</si>
  <si>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</si>
  <si>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</si>
  <si>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</si>
  <si>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</si>
  <si>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</si>
  <si>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</si>
  <si>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</si>
  <si>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</si>
  <si>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</si>
  <si>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</si>
  <si>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</si>
  <si>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</si>
  <si>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</si>
  <si>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</si>
  <si>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</si>
  <si>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</si>
  <si>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</si>
  <si>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</si>
  <si>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</si>
  <si>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</si>
  <si>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</si>
  <si>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</si>
  <si>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</si>
  <si>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</si>
  <si>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</si>
  <si>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</si>
  <si>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</si>
  <si>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</si>
  <si>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</si>
  <si>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</si>
  <si>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</si>
  <si>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</si>
  <si>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</si>
  <si>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</si>
  <si>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</si>
  <si>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</si>
  <si>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</si>
  <si>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</si>
  <si>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</si>
  <si>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</si>
  <si>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</si>
  <si>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</si>
  <si>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</si>
  <si>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</si>
  <si>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</si>
  <si>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</si>
  <si>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</si>
  <si>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</si>
  <si>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</si>
  <si>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</si>
  <si>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</si>
  <si>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</si>
  <si>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</si>
  <si>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</si>
  <si>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</si>
  <si>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</si>
  <si>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</si>
  <si>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</si>
  <si>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</si>
  <si>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</si>
  <si>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</si>
  <si>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</si>
  <si>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</si>
  <si>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</si>
  <si>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</si>
  <si>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</si>
  <si>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</si>
  <si>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</si>
  <si>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</si>
  <si>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</si>
  <si>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</si>
  <si>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</si>
  <si>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</si>
  <si>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</si>
  <si>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</si>
  <si>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</si>
  <si>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</si>
  <si>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</si>
  <si>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</si>
  <si>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</si>
  <si>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</si>
  <si>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</si>
  <si>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</si>
  <si>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</si>
  <si>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</si>
  <si>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</si>
  <si>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</si>
  <si>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</si>
  <si>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</si>
  <si>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</si>
  <si>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</si>
  <si>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</si>
  <si>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</si>
  <si>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</si>
  <si>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</si>
  <si>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</si>
  <si>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</si>
  <si>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</si>
  <si>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</si>
  <si>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</si>
  <si>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</si>
  <si>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</si>
  <si>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</si>
  <si>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</si>
  <si>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</si>
  <si>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</si>
  <si>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</si>
  <si>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</si>
  <si>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</si>
  <si>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</si>
  <si>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</si>
  <si>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</si>
  <si>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</si>
  <si>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</si>
  <si>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</si>
  <si>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</si>
  <si>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</si>
  <si>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</si>
  <si>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</si>
  <si>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</si>
  <si>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</si>
  <si>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</si>
  <si>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</si>
  <si>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</si>
  <si>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</si>
  <si>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</si>
  <si>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</si>
  <si>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</si>
  <si>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</si>
  <si>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</si>
  <si>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</si>
  <si>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</si>
  <si>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</si>
  <si>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</si>
  <si>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</si>
  <si>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</si>
  <si>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</si>
  <si>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</si>
  <si>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</si>
  <si>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</si>
  <si>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</si>
  <si>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</si>
  <si>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</si>
  <si>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</si>
  <si>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</si>
  <si>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</si>
  <si>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</si>
  <si>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</si>
  <si>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</si>
  <si>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</si>
  <si>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</si>
  <si>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</si>
  <si>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</si>
  <si>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</si>
  <si>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</si>
  <si>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</si>
  <si>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</si>
  <si>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</si>
  <si>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</si>
  <si>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</si>
  <si>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</si>
  <si>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</si>
  <si>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</si>
  <si>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</si>
  <si>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</si>
  <si>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</si>
  <si>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</si>
  <si>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</si>
  <si>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</si>
  <si>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</si>
  <si>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</si>
  <si>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</si>
  <si>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</si>
  <si>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</si>
  <si>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</si>
  <si>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</si>
  <si>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</si>
  <si>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</si>
  <si>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</si>
  <si>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</si>
  <si>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</si>
  <si>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</si>
  <si>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</si>
  <si>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</si>
  <si>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</si>
  <si>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</si>
  <si>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</si>
  <si>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</si>
  <si>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</si>
  <si>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</si>
  <si>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</si>
  <si>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</si>
  <si>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</si>
  <si>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</si>
  <si>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</si>
  <si>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</si>
  <si>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</si>
  <si>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</si>
  <si>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</si>
  <si>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</si>
  <si>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</si>
  <si>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</si>
  <si>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</si>
  <si>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</si>
  <si>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</si>
  <si>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</si>
  <si>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</si>
  <si>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</si>
  <si>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</si>
  <si>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</si>
  <si>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</si>
  <si>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</si>
  <si>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</si>
  <si>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</si>
  <si>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</si>
  <si>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</si>
  <si>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</si>
  <si>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</si>
  <si>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</si>
  <si>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</si>
  <si>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</si>
  <si>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</si>
  <si>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</si>
  <si>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</si>
  <si>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</si>
  <si>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</si>
  <si>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</si>
  <si>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</si>
  <si>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</si>
  <si>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</si>
  <si>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</si>
  <si>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</si>
  <si>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</si>
  <si>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</si>
  <si>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</si>
  <si>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</si>
  <si>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</si>
  <si>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</si>
  <si>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</si>
  <si>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</si>
  <si>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</si>
  <si>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</si>
  <si>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</si>
  <si>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</si>
  <si>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</si>
  <si>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</si>
  <si>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</si>
  <si>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</si>
  <si>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</si>
  <si>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</si>
  <si>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</si>
  <si>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</si>
  <si>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</si>
  <si>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</si>
  <si>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</si>
  <si>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</si>
  <si>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</si>
  <si>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</si>
  <si>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</si>
  <si>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</si>
  <si>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</si>
  <si>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</si>
  <si>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</si>
  <si>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</si>
  <si>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</si>
  <si>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</si>
  <si>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</si>
  <si>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</si>
  <si>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</si>
  <si>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</si>
  <si>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</si>
  <si>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</si>
  <si>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</si>
  <si>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</si>
  <si>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</si>
  <si>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</si>
  <si>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</si>
  <si>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</si>
  <si>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</si>
  <si>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</si>
  <si>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</si>
  <si>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</si>
  <si>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</si>
  <si>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</si>
  <si>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</si>
  <si>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</si>
  <si>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</si>
  <si>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</si>
  <si>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</si>
  <si>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</si>
  <si>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</si>
  <si>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</si>
  <si>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</si>
  <si>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</si>
  <si>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</si>
  <si>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</si>
  <si>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</si>
  <si>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</si>
  <si>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</si>
  <si>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</si>
  <si>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</si>
  <si>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</si>
  <si>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</si>
  <si>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</si>
  <si>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</si>
  <si>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</si>
  <si>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</si>
  <si>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</si>
  <si>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</si>
  <si>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</si>
  <si>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</si>
  <si>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</si>
  <si>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</si>
  <si>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</si>
  <si>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</si>
  <si>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</si>
  <si>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</si>
  <si>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</si>
  <si>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</si>
  <si>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</si>
  <si>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</si>
  <si>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</si>
  <si>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</si>
  <si>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</si>
  <si>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</si>
  <si>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</si>
  <si>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</si>
  <si>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</si>
  <si>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</si>
  <si>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</si>
  <si>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</si>
  <si>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</si>
  <si>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</si>
  <si>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</si>
  <si>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</si>
  <si>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</si>
  <si>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</si>
  <si>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</si>
  <si>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</si>
  <si>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</si>
  <si>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</si>
  <si>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</si>
  <si>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</si>
  <si>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</si>
  <si>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</si>
  <si>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</si>
  <si>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</si>
  <si>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</si>
  <si>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</si>
  <si>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</si>
  <si>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</si>
  <si>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</si>
  <si>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</si>
  <si>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</si>
  <si>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</si>
  <si>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</si>
  <si>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</si>
  <si>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</si>
  <si>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</si>
  <si>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</si>
  <si>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</si>
  <si>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</si>
  <si>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</si>
  <si>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</si>
  <si>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</si>
  <si>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</si>
  <si>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</si>
  <si>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</si>
  <si>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</si>
  <si>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</si>
  <si>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</si>
  <si>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</si>
  <si>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</si>
  <si>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</si>
  <si>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</si>
  <si>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</si>
  <si>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</si>
  <si>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</si>
  <si>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</si>
  <si>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</si>
  <si>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</si>
  <si>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</si>
  <si>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</si>
  <si>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</si>
  <si>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</si>
  <si>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</si>
  <si>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</si>
  <si>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</si>
  <si>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</si>
  <si>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</si>
  <si>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</si>
  <si>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</si>
  <si>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</si>
  <si>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</si>
  <si>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</si>
  <si>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</si>
  <si>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</si>
  <si>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</si>
  <si>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</si>
  <si>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</si>
  <si>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</si>
  <si>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</si>
  <si>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</si>
  <si>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</si>
  <si>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</si>
  <si>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</si>
  <si>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</si>
  <si>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</si>
  <si>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</si>
  <si>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</si>
  <si>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</si>
  <si>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</si>
  <si>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</si>
  <si>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</si>
  <si>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</si>
  <si>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</si>
  <si>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</si>
  <si>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</si>
  <si>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</si>
  <si>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</si>
  <si>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</si>
  <si>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</si>
  <si>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</si>
  <si>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</si>
  <si>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</si>
  <si>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</si>
  <si>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</si>
  <si>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</si>
  <si>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</si>
  <si>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</si>
  <si>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</si>
  <si>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</si>
  <si>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</si>
  <si>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</si>
  <si>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</si>
  <si>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</si>
  <si>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</si>
  <si>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</si>
  <si>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</si>
  <si>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</si>
  <si>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</si>
  <si>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</si>
  <si>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</si>
  <si>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</si>
  <si>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</si>
  <si>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</si>
  <si>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</si>
  <si>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</si>
  <si>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</si>
  <si>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</si>
  <si>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</si>
  <si>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</si>
  <si>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</si>
  <si>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</si>
  <si>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</si>
  <si>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</si>
  <si>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</si>
  <si>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</si>
  <si>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</si>
  <si>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</si>
  <si>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</si>
  <si>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</si>
  <si>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</si>
  <si>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</si>
  <si>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</si>
  <si>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</si>
  <si>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</si>
  <si>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</si>
  <si>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</si>
  <si>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</si>
  <si>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</si>
  <si>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</si>
  <si>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</si>
  <si>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</si>
  <si>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</si>
  <si>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</si>
  <si>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</si>
  <si>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</si>
  <si>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</si>
  <si>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</si>
  <si>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</si>
  <si>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</si>
  <si>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</si>
  <si>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</si>
  <si>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</si>
  <si>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</si>
  <si>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</si>
  <si>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</si>
  <si>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</si>
  <si>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</si>
  <si>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</si>
  <si>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</si>
  <si>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</si>
  <si>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</si>
  <si>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</si>
  <si>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</si>
  <si>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</si>
  <si>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</si>
  <si>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</si>
  <si>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</si>
  <si>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</si>
  <si>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</si>
  <si>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</si>
  <si>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</si>
  <si>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</si>
  <si>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</si>
  <si>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</si>
  <si>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</si>
  <si>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</si>
  <si>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</si>
  <si>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</si>
  <si>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</si>
  <si>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</si>
  <si>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</si>
  <si>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</si>
  <si>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</si>
  <si>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</si>
  <si>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</si>
  <si>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</si>
  <si>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</si>
  <si>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</si>
  <si>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</si>
  <si>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</si>
  <si>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</si>
  <si>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</si>
  <si>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</si>
  <si>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</si>
  <si>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</si>
  <si>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</si>
  <si>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</si>
  <si>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</si>
  <si>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</si>
  <si>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</si>
  <si>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</si>
  <si>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</si>
  <si>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</si>
  <si>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</si>
  <si>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</si>
  <si>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</si>
  <si>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</si>
  <si>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</si>
  <si>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</si>
  <si>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</si>
  <si>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</si>
  <si>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</si>
  <si>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</si>
  <si>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</si>
  <si>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</si>
  <si>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</si>
  <si>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</si>
  <si>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</si>
  <si>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</si>
  <si>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</si>
  <si>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</si>
  <si>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</si>
  <si>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</si>
  <si>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</si>
  <si>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</si>
  <si>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</si>
  <si>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</si>
  <si>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</si>
  <si>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</si>
  <si>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</si>
  <si>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</si>
  <si>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</si>
  <si>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</si>
  <si>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</si>
  <si>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</si>
  <si>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</si>
  <si>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</si>
  <si>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</si>
  <si>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</si>
  <si>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</si>
  <si>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</si>
  <si>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</si>
  <si>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</si>
  <si>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</si>
  <si>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</si>
  <si>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</si>
  <si>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</si>
  <si>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</si>
  <si>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</si>
  <si>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</si>
  <si>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</si>
  <si>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</si>
  <si>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</si>
  <si>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</si>
  <si>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</si>
  <si>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</si>
  <si>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</si>
  <si>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</si>
  <si>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</si>
  <si>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</si>
  <si>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</si>
  <si>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</si>
  <si>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</si>
  <si>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</si>
  <si>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</si>
  <si>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</si>
  <si>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</si>
  <si>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</si>
  <si>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</si>
  <si>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</si>
  <si>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</si>
  <si>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</si>
  <si>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</si>
  <si>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</si>
  <si>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</si>
  <si>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</si>
  <si>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</si>
  <si>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</si>
  <si>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</si>
  <si>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</si>
  <si>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</si>
  <si>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</si>
  <si>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</si>
  <si>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</si>
  <si>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</si>
  <si>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</si>
  <si>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</si>
  <si>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</si>
  <si>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</si>
  <si>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</si>
  <si>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</si>
  <si>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</si>
  <si>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</si>
  <si>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</si>
  <si>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</si>
  <si>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</si>
  <si>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</si>
  <si>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</si>
  <si>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</si>
  <si>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</si>
  <si>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</si>
  <si>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</si>
  <si>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</si>
  <si>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</si>
  <si>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</si>
  <si>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</si>
  <si>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</si>
  <si>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</si>
  <si>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</si>
  <si>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</si>
  <si>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</si>
  <si>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</si>
  <si>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</si>
  <si>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</si>
  <si>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</si>
  <si>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</si>
  <si>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</si>
  <si>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</si>
  <si>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</si>
  <si>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</si>
  <si>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</si>
  <si>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</si>
  <si>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</si>
  <si>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</si>
  <si>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</si>
  <si>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</si>
  <si>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</si>
  <si>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</si>
  <si>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</si>
  <si>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</si>
  <si>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</si>
  <si>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</si>
  <si>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</si>
  <si>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</si>
  <si>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</si>
  <si>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</si>
  <si>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</si>
  <si>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</si>
  <si>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</si>
  <si>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</si>
  <si>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</si>
  <si>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</si>
  <si>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</si>
  <si>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</si>
  <si>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</si>
  <si>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</si>
  <si>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</si>
  <si>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</si>
  <si>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</si>
  <si>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</si>
  <si>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</si>
  <si>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</si>
  <si>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</si>
  <si>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</si>
  <si>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</si>
  <si>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</si>
  <si>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</si>
  <si>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</si>
  <si>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</si>
  <si>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</si>
  <si>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</si>
  <si>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</si>
  <si>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</si>
  <si>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</si>
  <si>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</si>
  <si>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</si>
  <si>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</si>
  <si>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</si>
  <si>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</si>
  <si>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</si>
  <si>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</si>
  <si>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</si>
  <si>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</si>
  <si>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</si>
  <si>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</si>
  <si>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</si>
  <si>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</si>
  <si>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</si>
  <si>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</si>
  <si>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</si>
  <si>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</si>
  <si>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</si>
  <si>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</si>
  <si>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</si>
  <si>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</si>
  <si>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</si>
  <si>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</si>
  <si>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</si>
  <si>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</si>
  <si>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</si>
  <si>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</si>
  <si>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</si>
  <si>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</si>
  <si>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</si>
  <si>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</si>
  <si>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</si>
  <si>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</si>
  <si>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</si>
  <si>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</si>
  <si>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</si>
  <si>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</si>
  <si>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</si>
  <si>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</si>
  <si>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</si>
  <si>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</si>
  <si>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</si>
  <si>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</si>
  <si>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</si>
  <si>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</si>
  <si>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</si>
  <si>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</si>
  <si>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</si>
  <si>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</si>
  <si>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</si>
  <si>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</si>
  <si>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</si>
  <si>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</si>
  <si>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</si>
  <si>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</si>
  <si>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</si>
  <si>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</si>
  <si>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</si>
  <si>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</si>
  <si>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</si>
  <si>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</si>
  <si>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</si>
  <si>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</si>
  <si>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</si>
  <si>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</si>
  <si>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</si>
  <si>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</si>
  <si>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</si>
  <si>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</si>
  <si>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</si>
  <si>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</si>
  <si>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</si>
  <si>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</si>
  <si>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</si>
  <si>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</si>
  <si>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</si>
  <si>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</si>
  <si>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</si>
  <si>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</si>
  <si>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</si>
  <si>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</si>
  <si>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</si>
  <si>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</si>
  <si>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</si>
  <si>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</si>
  <si>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</si>
  <si>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</si>
  <si>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</si>
  <si>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</si>
  <si>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</si>
  <si>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</si>
  <si>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</si>
  <si>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</si>
  <si>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</si>
  <si>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</si>
  <si>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</si>
  <si>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</si>
  <si>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</si>
  <si>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</si>
  <si>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</si>
  <si>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</si>
  <si>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</si>
  <si>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</si>
  <si>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</si>
  <si>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</si>
  <si>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</si>
  <si>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</si>
  <si>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</si>
  <si>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</si>
  <si>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</si>
  <si>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</si>
  <si>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</si>
  <si>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</si>
  <si>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</si>
  <si>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</si>
  <si>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</si>
  <si>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</si>
  <si>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</si>
  <si>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</si>
  <si>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</si>
  <si>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</si>
  <si>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</si>
  <si>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</si>
  <si>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</si>
  <si>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</si>
  <si>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</si>
  <si>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</si>
  <si>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</si>
  <si>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</si>
  <si>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</si>
  <si>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</si>
  <si>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</si>
  <si>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</si>
  <si>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</si>
  <si>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</si>
  <si>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</si>
  <si>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</si>
  <si>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</si>
  <si>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</si>
  <si>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</si>
  <si>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</si>
  <si>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</si>
  <si>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</si>
  <si>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</si>
  <si>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</si>
  <si>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</si>
  <si>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</si>
  <si>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</si>
  <si>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</si>
  <si>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</si>
  <si>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</si>
  <si>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</si>
  <si>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</si>
  <si>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</si>
  <si>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</si>
  <si>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</si>
  <si>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</si>
  <si>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</si>
  <si>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</si>
  <si>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</si>
  <si>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</si>
  <si>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</si>
  <si>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</si>
  <si>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</si>
  <si>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</si>
  <si>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</si>
  <si>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</si>
  <si>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</si>
  <si>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</si>
  <si>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</si>
  <si>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</si>
  <si>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</si>
  <si>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</si>
  <si>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</si>
  <si>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</si>
  <si>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</si>
  <si>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</si>
  <si>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</si>
  <si>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</si>
  <si>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</si>
  <si>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</si>
  <si>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</si>
  <si>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</si>
  <si>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</si>
  <si>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</si>
  <si>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</si>
  <si>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</si>
  <si>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</si>
  <si>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</si>
  <si>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</si>
  <si>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</si>
  <si>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</si>
  <si>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</si>
  <si>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</si>
  <si>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</si>
  <si>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</si>
  <si>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</si>
  <si>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</si>
  <si>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</si>
  <si>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</si>
  <si>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</si>
  <si>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</si>
  <si>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</si>
  <si>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</si>
  <si>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</si>
  <si>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</si>
  <si>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</si>
  <si>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</si>
  <si>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</si>
  <si>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</si>
  <si>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</si>
  <si>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</si>
  <si>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</si>
  <si>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</si>
  <si>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</si>
  <si>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</si>
  <si>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</si>
  <si>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</si>
  <si>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</si>
  <si>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</si>
  <si>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</si>
  <si>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</si>
  <si>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</si>
  <si>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</si>
  <si>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</si>
  <si>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</si>
  <si>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</si>
  <si>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</si>
  <si>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</si>
  <si>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</si>
  <si>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</si>
  <si>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</si>
  <si>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</si>
  <si>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</si>
  <si>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</si>
  <si>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</si>
  <si>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</si>
  <si>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</si>
  <si>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</si>
  <si>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</si>
  <si>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</si>
  <si>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</si>
  <si>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</si>
  <si>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</si>
  <si>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</si>
  <si>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</si>
  <si>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</si>
  <si>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</si>
  <si>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</si>
  <si>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</si>
  <si>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</si>
  <si>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</si>
  <si>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</si>
  <si>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</si>
  <si>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</si>
  <si>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</si>
  <si>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</si>
  <si>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</si>
  <si>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</si>
  <si>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</si>
  <si>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</si>
  <si>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</si>
  <si>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</si>
  <si>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</si>
  <si>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</si>
  <si>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</si>
  <si>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</si>
  <si>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</si>
  <si>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</si>
  <si>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</si>
  <si>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</si>
  <si>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</si>
  <si>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</si>
  <si>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</si>
  <si>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</si>
  <si>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</si>
  <si>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</si>
  <si>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</si>
  <si>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</si>
  <si>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</si>
  <si>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</si>
  <si>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</si>
  <si>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</si>
  <si>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</si>
  <si>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</si>
  <si>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</si>
  <si>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</si>
  <si>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</si>
  <si>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</si>
  <si>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</si>
  <si>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</si>
  <si>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</si>
  <si>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</si>
  <si>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</si>
  <si>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</si>
  <si>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</si>
  <si>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</si>
  <si>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</si>
  <si>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</si>
  <si>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</si>
  <si>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</si>
  <si>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</si>
  <si>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</si>
  <si>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</si>
  <si>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</si>
  <si>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</si>
  <si>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</si>
  <si>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</si>
  <si>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</si>
  <si>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</si>
  <si>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</si>
  <si>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</si>
  <si>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</si>
  <si>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</si>
  <si>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</si>
  <si>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</si>
  <si>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</si>
  <si>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</si>
  <si>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</si>
  <si>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</si>
  <si>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</si>
  <si>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</si>
  <si>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</si>
  <si>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</si>
  <si>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</si>
  <si>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</si>
  <si>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</si>
  <si>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</si>
  <si>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</si>
  <si>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</si>
  <si>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</si>
  <si>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</si>
  <si>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</si>
  <si>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</si>
  <si>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</si>
  <si>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</si>
  <si>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</si>
  <si>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</si>
  <si>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</si>
  <si>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</si>
  <si>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</si>
  <si>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</si>
  <si>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</si>
  <si>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</si>
  <si>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</si>
  <si>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</si>
  <si>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</si>
  <si>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</si>
  <si>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</si>
  <si>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</si>
  <si>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</si>
  <si>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</si>
  <si>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</si>
  <si>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</si>
  <si>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</si>
  <si>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</si>
  <si>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</si>
  <si>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</si>
  <si>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</si>
  <si>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</si>
  <si>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</si>
  <si>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</si>
  <si>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</si>
  <si>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</si>
  <si>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</si>
  <si>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</si>
  <si>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</si>
  <si>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</si>
  <si>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</si>
  <si>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</si>
  <si>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</si>
  <si>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</si>
  <si>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</si>
  <si>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</si>
  <si>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</si>
  <si>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</si>
  <si>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</si>
  <si>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</si>
  <si>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</si>
  <si>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</si>
  <si>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</si>
  <si>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</si>
  <si>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</si>
  <si>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</si>
  <si>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</si>
  <si>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</si>
  <si>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</si>
  <si>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</si>
  <si>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</si>
  <si>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</si>
  <si>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</si>
  <si>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</si>
  <si>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</si>
  <si>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</si>
  <si>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</si>
  <si>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</si>
  <si>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</si>
  <si>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</si>
  <si>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</si>
  <si>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</si>
  <si>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</si>
  <si>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</si>
  <si>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</si>
  <si>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</si>
  <si>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</si>
  <si>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</si>
  <si>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</si>
  <si>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</si>
  <si>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</si>
  <si>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</si>
  <si>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</si>
  <si>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</si>
  <si>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</si>
  <si>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</si>
  <si>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</si>
  <si>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</si>
  <si>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</si>
  <si>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</si>
  <si>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</si>
  <si>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</si>
  <si>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</si>
  <si>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</si>
  <si>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</si>
  <si>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</si>
  <si>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</si>
  <si>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</si>
  <si>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</si>
  <si>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</si>
  <si>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</si>
  <si>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</si>
  <si>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</si>
  <si>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</si>
  <si>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</si>
  <si>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</si>
  <si>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</si>
  <si>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</si>
  <si>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</si>
  <si>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</si>
  <si>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</si>
  <si>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</si>
  <si>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</si>
  <si>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</si>
  <si>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</si>
  <si>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</si>
  <si>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</si>
  <si>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</si>
  <si>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</si>
  <si>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</si>
  <si>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</si>
  <si>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</si>
  <si>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</si>
  <si>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</si>
  <si>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</si>
  <si>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</si>
  <si>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</si>
  <si>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</si>
  <si>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</si>
  <si>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</si>
  <si>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</si>
  <si>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</si>
  <si>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</si>
  <si>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</si>
  <si>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</si>
  <si>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</si>
  <si>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</si>
  <si>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</si>
  <si>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</si>
  <si>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</si>
  <si>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</si>
  <si>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</si>
  <si>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</si>
  <si>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</si>
  <si>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</si>
  <si>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</si>
  <si>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</si>
  <si>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</si>
  <si>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</si>
  <si>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</si>
  <si>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</si>
  <si>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</si>
  <si>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</si>
  <si>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</si>
  <si>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</si>
  <si>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</si>
  <si>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</si>
  <si>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</si>
  <si>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</si>
  <si>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</si>
  <si>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</si>
  <si>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</si>
  <si>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</si>
  <si>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</si>
  <si>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</si>
  <si>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</si>
  <si>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</si>
  <si>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</si>
  <si>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</si>
  <si>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</si>
  <si>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</si>
  <si>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</si>
  <si>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</si>
  <si>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</si>
  <si>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</si>
  <si>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</si>
  <si>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</si>
  <si>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</si>
  <si>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</si>
  <si>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</si>
  <si>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</si>
  <si>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</si>
  <si>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</si>
  <si>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</si>
  <si>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</si>
  <si>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</si>
  <si>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</si>
  <si>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</si>
  <si>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</si>
  <si>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</si>
  <si>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</si>
  <si>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</si>
  <si>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</si>
  <si>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</si>
  <si>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</si>
  <si>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</si>
  <si>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</si>
  <si>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</si>
  <si>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</si>
  <si>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</si>
  <si>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</si>
  <si>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</si>
  <si>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</si>
  <si>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</si>
  <si>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</si>
  <si>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</si>
  <si>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</si>
  <si>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</si>
  <si>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</si>
  <si>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</si>
  <si>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</si>
  <si>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</si>
  <si>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</si>
  <si>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</si>
  <si>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</si>
  <si>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</si>
  <si>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</si>
  <si>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</si>
  <si>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</si>
  <si>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</si>
  <si>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</si>
  <si>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</si>
  <si>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</si>
  <si>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</si>
  <si>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</si>
  <si>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</si>
  <si>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</si>
  <si>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</si>
  <si>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</si>
  <si>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</si>
  <si>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</si>
  <si>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</si>
  <si>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</si>
  <si>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</si>
  <si>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</si>
  <si>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</si>
  <si>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</si>
  <si>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</si>
  <si>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</si>
  <si>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</si>
  <si>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</si>
  <si>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</si>
  <si>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</si>
  <si>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</si>
  <si>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</si>
  <si>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</si>
  <si>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</si>
  <si>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</si>
  <si>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</si>
  <si>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</si>
  <si>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</si>
  <si>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</si>
  <si>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</si>
  <si>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</si>
  <si>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</si>
  <si>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</si>
  <si>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</si>
  <si>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</si>
  <si>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</si>
  <si>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</si>
  <si>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</si>
  <si>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</si>
  <si>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</si>
  <si>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</si>
  <si>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</si>
  <si>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</si>
  <si>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</si>
  <si>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</si>
  <si>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</si>
  <si>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</si>
  <si>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</si>
  <si>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</si>
  <si>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</si>
  <si>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</si>
  <si>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</si>
  <si>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</si>
  <si>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</si>
  <si>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</si>
  <si>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</si>
  <si>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</si>
  <si>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</si>
  <si>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</si>
  <si>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</si>
  <si>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</si>
  <si>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</si>
  <si>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</si>
  <si>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</si>
  <si>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</si>
  <si>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</si>
  <si>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</si>
  <si>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</si>
  <si>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</si>
  <si>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</si>
  <si>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</si>
  <si>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</si>
  <si>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</si>
  <si>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</si>
  <si>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</si>
  <si>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</si>
  <si>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</si>
  <si>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</si>
  <si>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</si>
  <si>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</si>
  <si>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</si>
  <si>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</si>
  <si>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</si>
  <si>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</si>
  <si>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</si>
  <si>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</si>
  <si>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</si>
  <si>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</si>
  <si>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</si>
  <si>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</si>
  <si>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</si>
  <si>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</si>
  <si>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</si>
  <si>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</si>
  <si>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</si>
  <si>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</si>
  <si>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</si>
  <si>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</si>
  <si>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</si>
  <si>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</si>
  <si>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</si>
  <si>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</si>
  <si>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</si>
  <si>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</si>
  <si>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</si>
  <si>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</si>
  <si>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</si>
  <si>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</si>
  <si>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</si>
  <si>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</si>
  <si>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</si>
  <si>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</si>
  <si>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</si>
  <si>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</si>
  <si>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</si>
  <si>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</si>
  <si>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</si>
  <si>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</si>
  <si>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</si>
  <si>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</si>
  <si>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</si>
  <si>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</si>
  <si>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</si>
  <si>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</si>
  <si>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</si>
  <si>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</si>
  <si>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</si>
  <si>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</si>
  <si>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</si>
  <si>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</si>
  <si>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</si>
  <si>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</si>
  <si>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</si>
  <si>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</si>
  <si>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</si>
  <si>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</si>
  <si>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</si>
  <si>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</si>
  <si>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</si>
  <si>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</si>
  <si>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</si>
  <si>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</si>
  <si>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</si>
  <si>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</si>
  <si>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</si>
  <si>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</si>
  <si>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</si>
  <si>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</si>
  <si>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</si>
  <si>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</si>
  <si>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</si>
  <si>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</si>
  <si>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</si>
  <si>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</si>
  <si>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</si>
  <si>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</si>
  <si>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</si>
  <si>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</si>
  <si>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</si>
  <si>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</si>
  <si>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</si>
  <si>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</si>
  <si>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</si>
  <si>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</si>
  <si>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</si>
  <si>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</si>
  <si>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</si>
  <si>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</si>
  <si>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</si>
  <si>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</si>
  <si>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</si>
  <si>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</si>
  <si>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</si>
  <si>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</si>
  <si>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</si>
  <si>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</si>
  <si>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</si>
  <si>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</si>
  <si>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</si>
  <si>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</si>
  <si>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</si>
  <si>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</si>
  <si>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</si>
  <si>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</si>
  <si>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</si>
  <si>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</si>
  <si>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</si>
  <si>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</si>
  <si>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</si>
  <si>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</si>
  <si>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</si>
  <si>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</si>
  <si>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</si>
  <si>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</si>
  <si>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</si>
  <si>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</si>
  <si>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</si>
  <si>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</si>
  <si>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</si>
  <si>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</si>
  <si>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</si>
  <si>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</si>
  <si>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</si>
  <si>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</si>
  <si>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</si>
  <si>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</si>
  <si>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</si>
  <si>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</si>
  <si>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</si>
  <si>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</si>
  <si>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</si>
  <si>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</si>
  <si>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</si>
  <si>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</si>
  <si>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</si>
  <si>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</si>
  <si>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</si>
  <si>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</si>
  <si>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</si>
  <si>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</si>
  <si>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</si>
  <si>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</si>
  <si>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</si>
  <si>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</si>
  <si>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</si>
  <si>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</si>
  <si>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</si>
  <si>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</si>
  <si>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</si>
  <si>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</si>
  <si>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</si>
  <si>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</si>
  <si>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</si>
  <si>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</si>
  <si>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</si>
  <si>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</si>
  <si>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</si>
  <si>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</si>
  <si>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</si>
  <si>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</si>
  <si>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</si>
  <si>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</si>
  <si>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</si>
  <si>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</si>
  <si>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</si>
  <si>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</si>
  <si>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</si>
  <si>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</si>
  <si>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</si>
  <si>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</si>
  <si>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</si>
  <si>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</si>
  <si>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</si>
  <si>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</si>
  <si>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</si>
  <si>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</si>
  <si>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</si>
  <si>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</si>
  <si>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</si>
  <si>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</si>
  <si>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</si>
  <si>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</si>
  <si>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</si>
  <si>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</si>
  <si>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</si>
  <si>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</si>
  <si>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</si>
  <si>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</si>
  <si>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</si>
  <si>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</si>
  <si>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</si>
  <si>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</si>
  <si>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</si>
  <si>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</si>
  <si>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</si>
  <si>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</si>
  <si>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</si>
  <si>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</si>
  <si>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</si>
  <si>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</si>
  <si>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</si>
  <si>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</si>
  <si>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</si>
  <si>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</si>
  <si>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</si>
  <si>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</si>
  <si>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</si>
  <si>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</si>
  <si>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</si>
  <si>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</si>
  <si>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</si>
  <si>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</si>
  <si>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</si>
  <si>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</si>
  <si>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</si>
  <si>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</si>
  <si>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</si>
  <si>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</si>
  <si>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</si>
  <si>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</si>
  <si>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</si>
  <si>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</si>
  <si>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</si>
  <si>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</si>
  <si>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</si>
  <si>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</si>
  <si>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</si>
  <si>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</si>
  <si>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</si>
  <si>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</si>
  <si>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</si>
  <si>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</si>
  <si>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</si>
  <si>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</si>
  <si>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</si>
  <si>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</si>
  <si>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</si>
  <si>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</si>
  <si>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</si>
  <si>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</si>
  <si>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</si>
  <si>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</si>
  <si>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</si>
  <si>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</si>
  <si>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</si>
  <si>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</si>
  <si>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</si>
  <si>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</si>
  <si>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</si>
  <si>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</si>
  <si>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</si>
  <si>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</si>
  <si>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</si>
  <si>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</si>
  <si>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</si>
  <si>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</si>
  <si>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</si>
  <si>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</si>
  <si>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</si>
  <si>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</si>
  <si>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</si>
  <si>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</si>
  <si>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</si>
  <si>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</si>
  <si>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</si>
  <si>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</si>
  <si>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</si>
  <si>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</si>
  <si>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</si>
  <si>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</si>
  <si>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</si>
  <si>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</si>
  <si>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</si>
  <si>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</si>
  <si>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</si>
  <si>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</si>
  <si>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</si>
  <si>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</si>
  <si>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</si>
  <si>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</si>
  <si>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</si>
  <si>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</si>
  <si>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</si>
  <si>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</si>
  <si>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</si>
  <si>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</si>
  <si>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</si>
  <si>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</si>
  <si>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</si>
  <si>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</si>
  <si>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</si>
  <si>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</si>
  <si>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</si>
  <si>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</si>
  <si>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</si>
  <si>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</si>
  <si>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</si>
  <si>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</si>
  <si>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</si>
  <si>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</si>
  <si>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</si>
  <si>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</si>
  <si>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</si>
  <si>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</si>
  <si>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</si>
  <si>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</si>
  <si>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</si>
  <si>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</si>
  <si>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</si>
  <si>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</si>
  <si>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</si>
  <si>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</si>
  <si>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</si>
  <si>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</si>
  <si>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</si>
  <si>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</si>
  <si>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</si>
  <si>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</si>
  <si>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</si>
  <si>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</si>
  <si>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</si>
  <si>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</si>
  <si>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</si>
  <si>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</si>
  <si>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</si>
  <si>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</si>
  <si>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</si>
  <si>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</si>
  <si>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</si>
  <si>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</si>
  <si>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</si>
  <si>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</si>
  <si>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</si>
  <si>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</si>
  <si>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</si>
  <si>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</si>
  <si>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</si>
  <si>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</si>
  <si>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</si>
  <si>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</si>
  <si>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</si>
  <si>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</si>
  <si>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</si>
  <si>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</si>
  <si>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</si>
  <si>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</si>
  <si>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</si>
  <si>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</si>
  <si>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</si>
  <si>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</si>
  <si>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</si>
  <si>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</si>
  <si>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</si>
  <si>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</si>
  <si>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</si>
  <si>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</si>
  <si>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</si>
  <si>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</si>
  <si>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</si>
  <si>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</si>
  <si>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</si>
  <si>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</si>
  <si>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</si>
  <si>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</si>
  <si>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</si>
  <si>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</si>
  <si>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</si>
  <si>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</si>
  <si>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</si>
  <si>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</si>
  <si>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</si>
  <si>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</si>
  <si>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</si>
  <si>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</si>
  <si>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</si>
  <si>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</si>
  <si>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</si>
  <si>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</si>
  <si>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</si>
  <si>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</si>
  <si>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</si>
  <si>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</si>
  <si>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</si>
  <si>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</si>
  <si>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</si>
  <si>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</si>
  <si>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</si>
  <si>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</si>
  <si>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</si>
  <si>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</si>
  <si>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</si>
  <si>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</si>
  <si>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</si>
  <si>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</si>
  <si>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</si>
  <si>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</si>
  <si>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</si>
  <si>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</si>
  <si>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</si>
  <si>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</si>
  <si>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</si>
  <si>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</si>
  <si>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</si>
  <si>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</si>
  <si>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</si>
  <si>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</si>
  <si>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</si>
  <si>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</si>
  <si>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</si>
  <si>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</si>
  <si>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</si>
  <si>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</si>
  <si>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</si>
  <si>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</si>
  <si>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</si>
  <si>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</si>
  <si>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</si>
  <si>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</si>
  <si>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</si>
  <si>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</si>
  <si>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</si>
  <si>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</si>
  <si>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</si>
  <si>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</si>
  <si>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</si>
  <si>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</si>
  <si>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</si>
  <si>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</si>
  <si>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</si>
  <si>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</si>
  <si>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</si>
  <si>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</si>
  <si>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</si>
  <si>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</si>
  <si>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</si>
  <si>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</si>
  <si>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</si>
  <si>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</si>
  <si>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</si>
  <si>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</si>
  <si>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</si>
  <si>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</si>
  <si>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</si>
  <si>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</si>
  <si>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</si>
  <si>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</si>
  <si>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</si>
  <si>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</si>
  <si>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</si>
  <si>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</si>
  <si>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</si>
  <si>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</si>
  <si>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</si>
  <si>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</si>
  <si>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</si>
  <si>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</si>
  <si>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</si>
  <si>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</si>
  <si>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</si>
  <si>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</si>
  <si>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</si>
  <si>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</si>
  <si>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</si>
  <si>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</si>
  <si>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</si>
  <si>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</si>
  <si>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</si>
  <si>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</si>
  <si>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</si>
  <si>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</si>
  <si>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</si>
  <si>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</si>
  <si>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</si>
  <si>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</si>
  <si>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</si>
  <si>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</si>
  <si>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</si>
  <si>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</si>
  <si>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</si>
  <si>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</si>
  <si>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</si>
  <si>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</si>
  <si>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</si>
  <si>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</si>
  <si>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</si>
  <si>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</si>
  <si>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</si>
  <si>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</si>
  <si>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</si>
  <si>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</si>
  <si>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</si>
  <si>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</si>
  <si>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</si>
  <si>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</si>
  <si>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</si>
  <si>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</si>
  <si>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</si>
  <si>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</si>
  <si>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</si>
  <si>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</si>
  <si>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</si>
  <si>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</si>
  <si>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</si>
  <si>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</si>
  <si>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</si>
  <si>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</si>
  <si>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</si>
  <si>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</si>
  <si>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</si>
  <si>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</si>
  <si>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</si>
  <si>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</si>
  <si>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</si>
  <si>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</si>
  <si>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</si>
  <si>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</si>
  <si>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</si>
  <si>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</si>
  <si>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</si>
  <si>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</si>
  <si>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</si>
  <si>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</si>
  <si>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</si>
  <si>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</si>
  <si>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</si>
  <si>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</si>
  <si>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</si>
  <si>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</si>
  <si>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</si>
  <si>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</si>
  <si>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</si>
  <si>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</si>
  <si>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</si>
  <si>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</si>
  <si>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</si>
  <si>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</si>
  <si>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</si>
  <si>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</si>
  <si>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</si>
  <si>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</si>
  <si>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</si>
  <si>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</si>
  <si>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</si>
  <si>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</si>
  <si>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</si>
  <si>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</si>
  <si>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</si>
  <si>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</si>
  <si>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</si>
  <si>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</si>
  <si>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</si>
  <si>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</si>
  <si>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</si>
  <si>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</si>
  <si>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</si>
  <si>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</si>
  <si>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</si>
  <si>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</si>
  <si>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</si>
  <si>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</si>
  <si>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</si>
  <si>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</si>
  <si>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</si>
  <si>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</si>
  <si>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</si>
  <si>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</si>
  <si>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</si>
  <si>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</si>
  <si>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</si>
  <si>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</si>
  <si>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</si>
  <si>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</si>
  <si>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</si>
  <si>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</si>
  <si>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</si>
  <si>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</si>
  <si>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</si>
  <si>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</si>
  <si>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</si>
  <si>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</si>
  <si>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</si>
  <si>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</si>
  <si>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</si>
  <si>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</si>
  <si>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</si>
  <si>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</si>
  <si>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</si>
  <si>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</si>
  <si>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</si>
  <si>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</si>
  <si>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</si>
  <si>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</si>
  <si>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</si>
  <si>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</si>
  <si>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</si>
  <si>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</si>
  <si>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</si>
  <si>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</si>
  <si>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</si>
  <si>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</si>
  <si>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</si>
  <si>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</si>
  <si>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</si>
  <si>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</si>
  <si>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</si>
  <si>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</si>
  <si>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</si>
  <si>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</si>
  <si>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</si>
  <si>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</si>
  <si>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</si>
  <si>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</si>
  <si>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</si>
  <si>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</si>
  <si>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</si>
  <si>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</si>
  <si>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</si>
  <si>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</si>
  <si>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</si>
  <si>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</si>
  <si>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</si>
  <si>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</si>
  <si>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</si>
  <si>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</si>
  <si>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</si>
  <si>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</si>
  <si>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</si>
  <si>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</si>
  <si>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</si>
  <si>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</si>
  <si>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</si>
  <si>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</si>
  <si>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</si>
  <si>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</si>
  <si>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</si>
  <si>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</si>
  <si>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</si>
  <si>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</si>
  <si>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</si>
  <si>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</si>
  <si>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</si>
  <si>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</si>
  <si>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</si>
  <si>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</si>
  <si>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</si>
  <si>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</si>
  <si>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</si>
  <si>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</si>
  <si>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</si>
  <si>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</si>
  <si>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</si>
  <si>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</si>
  <si>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</si>
  <si>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</si>
  <si>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</si>
  <si>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</si>
  <si>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</si>
  <si>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</si>
  <si>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</si>
  <si>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</si>
  <si>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</si>
  <si>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</si>
  <si>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</si>
  <si>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</si>
  <si>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</si>
  <si>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</si>
  <si>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</si>
  <si>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</si>
  <si>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</si>
  <si>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</si>
  <si>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</si>
  <si>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</si>
  <si>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</si>
  <si>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</si>
  <si>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</si>
  <si>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</si>
  <si>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</si>
  <si>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</si>
  <si>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</si>
  <si>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</si>
  <si>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</si>
  <si>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</si>
  <si>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</si>
  <si>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</si>
  <si>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</si>
  <si>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</si>
  <si>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</si>
  <si>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</si>
  <si>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</si>
  <si>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</si>
  <si>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</si>
  <si>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</si>
  <si>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</si>
  <si>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</si>
  <si>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</si>
  <si>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</si>
  <si>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</si>
  <si>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</si>
  <si>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</si>
  <si>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</si>
  <si>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</si>
  <si>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</si>
  <si>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</si>
  <si>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</si>
  <si>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</si>
  <si>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</si>
  <si>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</si>
  <si>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</si>
  <si>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</si>
  <si>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</si>
  <si>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</si>
  <si>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</si>
  <si>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</si>
  <si>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</si>
  <si>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</si>
  <si>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</si>
  <si>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</si>
  <si>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</si>
  <si>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</si>
  <si>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</si>
  <si>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</si>
  <si>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</si>
  <si>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</si>
  <si>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</si>
  <si>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</si>
  <si>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</si>
  <si>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</si>
  <si>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</si>
  <si>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</si>
  <si>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</si>
  <si>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</si>
  <si>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</si>
  <si>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</si>
  <si>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</si>
  <si>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</si>
  <si>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</si>
  <si>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</si>
  <si>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</si>
  <si>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</si>
  <si>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</si>
  <si>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</si>
  <si>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</si>
  <si>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</si>
  <si>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</si>
  <si>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</si>
  <si>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</si>
  <si>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</si>
  <si>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</si>
  <si>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</si>
  <si>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</si>
  <si>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</si>
  <si>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</si>
  <si>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</si>
  <si>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</si>
  <si>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</si>
  <si>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</si>
  <si>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</si>
  <si>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</si>
  <si>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</si>
  <si>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</si>
  <si>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</si>
  <si>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</si>
  <si>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</si>
  <si>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</si>
  <si>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</si>
  <si>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</si>
  <si>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</si>
  <si>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</si>
  <si>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</si>
  <si>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</si>
  <si>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</si>
  <si>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</si>
  <si>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</si>
  <si>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</si>
  <si>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</si>
  <si>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</si>
  <si>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</si>
  <si>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</si>
  <si>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</si>
  <si>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</si>
  <si>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</si>
  <si>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</si>
  <si>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</si>
  <si>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</si>
  <si>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</si>
  <si>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</si>
  <si>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</si>
  <si>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</si>
  <si>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</si>
  <si>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</si>
  <si>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</si>
  <si>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</si>
  <si>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</si>
  <si>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</si>
  <si>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</si>
  <si>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</si>
  <si>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</si>
  <si>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</si>
  <si>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</si>
  <si>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</si>
  <si>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</si>
  <si>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</si>
  <si>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</si>
  <si>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</si>
  <si>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</si>
  <si>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</si>
  <si>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</si>
  <si>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</si>
  <si>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</si>
  <si>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</si>
  <si>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</si>
  <si>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</si>
  <si>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</si>
  <si>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</si>
  <si>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</si>
  <si>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</si>
  <si>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</si>
  <si>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</si>
  <si>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</si>
  <si>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</si>
  <si>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</si>
  <si>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</si>
  <si>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</si>
  <si>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</si>
  <si>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</si>
  <si>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</si>
  <si>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</si>
  <si>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</si>
  <si>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</si>
  <si>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</si>
  <si>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</si>
  <si>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</si>
  <si>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</si>
  <si>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</si>
  <si>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</si>
  <si>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</si>
  <si>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</si>
  <si>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</si>
  <si>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</si>
  <si>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</si>
  <si>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</si>
  <si>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</si>
  <si>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</si>
  <si>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</si>
  <si>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</si>
  <si>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</si>
  <si>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</si>
  <si>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</si>
  <si>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</si>
  <si>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</si>
  <si>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</si>
  <si>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</si>
  <si>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</si>
  <si>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</si>
  <si>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</si>
  <si>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</si>
  <si>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</si>
  <si>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</si>
  <si>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</si>
  <si>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</si>
  <si>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</si>
  <si>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</si>
  <si>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</si>
  <si>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</si>
  <si>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</si>
  <si>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</si>
  <si>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</si>
  <si>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</si>
  <si>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</si>
  <si>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</si>
  <si>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</si>
  <si>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</si>
  <si>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</si>
  <si>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</si>
  <si>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</si>
  <si>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</si>
  <si>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</si>
  <si>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</si>
  <si>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</si>
  <si>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</si>
  <si>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</si>
  <si>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</si>
  <si>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</si>
  <si>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</si>
  <si>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</si>
  <si>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</si>
  <si>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</si>
  <si>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</si>
  <si>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</si>
  <si>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</si>
  <si>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</si>
  <si>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</si>
  <si>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</si>
  <si>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</si>
  <si>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</si>
  <si>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</si>
  <si>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</si>
  <si>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</si>
  <si>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</si>
  <si>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</si>
  <si>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</si>
  <si>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</si>
  <si>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</si>
  <si>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</si>
  <si>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</si>
  <si>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</si>
  <si>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</si>
  <si>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</si>
  <si>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</si>
  <si>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</si>
  <si>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</si>
  <si>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</si>
  <si>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</si>
  <si>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</si>
  <si>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</si>
  <si>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</si>
  <si>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</si>
  <si>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</si>
  <si>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</si>
  <si>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</si>
  <si>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</si>
  <si>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</si>
  <si>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</si>
  <si>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</si>
  <si>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</si>
  <si>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</si>
  <si>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</si>
  <si>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</si>
  <si>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</si>
  <si>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</si>
  <si>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</si>
  <si>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</si>
  <si>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</si>
  <si>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</si>
  <si>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</si>
  <si>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</si>
  <si>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</si>
  <si>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</si>
  <si>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</si>
  <si>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</si>
  <si>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</si>
  <si>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</si>
  <si>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</si>
  <si>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</si>
  <si>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</si>
  <si>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</si>
  <si>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</si>
  <si>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</si>
  <si>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</si>
  <si>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</si>
  <si>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</si>
  <si>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</si>
  <si>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</si>
  <si>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</si>
  <si>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</si>
  <si>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</si>
  <si>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</si>
  <si>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</si>
  <si>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</si>
  <si>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</si>
  <si>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</si>
  <si>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</si>
  <si>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</si>
  <si>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</si>
  <si>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</si>
  <si>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</si>
  <si>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</si>
  <si>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</si>
  <si>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</si>
  <si>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</si>
  <si>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</si>
  <si>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</si>
  <si>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</si>
  <si>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</si>
  <si>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</si>
  <si>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</si>
  <si>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</si>
  <si>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</si>
  <si>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</si>
  <si>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</si>
  <si>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</si>
  <si>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</si>
  <si>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</si>
  <si>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</si>
  <si>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</si>
  <si>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</si>
  <si>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</si>
  <si>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</si>
  <si>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</si>
  <si>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</si>
  <si>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</si>
  <si>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</si>
  <si>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</si>
  <si>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</si>
  <si>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</si>
  <si>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</si>
  <si>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</si>
  <si>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</si>
  <si>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</si>
  <si>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</si>
  <si>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</si>
  <si>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</si>
  <si>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</si>
  <si>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</si>
  <si>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</si>
  <si>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</si>
  <si>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</si>
  <si>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</si>
  <si>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</si>
  <si>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</si>
  <si>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</si>
  <si>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</si>
  <si>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</si>
  <si>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</si>
  <si>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</si>
  <si>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</si>
  <si>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</si>
  <si>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</si>
  <si>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</si>
  <si>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</si>
  <si>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</si>
  <si>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</si>
  <si>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</si>
  <si>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</si>
  <si>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</si>
  <si>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</si>
  <si>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</si>
  <si>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</si>
  <si>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</si>
  <si>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</si>
  <si>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</si>
  <si>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</si>
  <si>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</si>
  <si>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</si>
  <si>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</si>
  <si>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</si>
  <si>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</si>
  <si>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</si>
  <si>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</si>
  <si>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</si>
  <si>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</si>
  <si>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</si>
  <si>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</si>
  <si>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</si>
  <si>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</si>
  <si>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</si>
  <si>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</si>
  <si>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</si>
  <si>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</si>
  <si>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</si>
  <si>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</si>
  <si>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</si>
  <si>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</si>
  <si>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</si>
  <si>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</si>
  <si>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</si>
  <si>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</si>
  <si>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</si>
  <si>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</si>
  <si>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</si>
  <si>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</si>
  <si>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</si>
  <si>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</si>
  <si>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</si>
  <si>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</si>
  <si>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</si>
  <si>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</si>
  <si>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</si>
  <si>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</si>
  <si>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</si>
  <si>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</si>
  <si>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</si>
  <si>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</si>
  <si>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</si>
  <si>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</si>
  <si>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</si>
  <si>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</si>
  <si>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</si>
  <si>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</si>
  <si>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</si>
  <si>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</si>
  <si>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</si>
  <si>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</si>
  <si>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</si>
  <si>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</si>
  <si>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</si>
  <si>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</si>
  <si>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</si>
  <si>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</si>
  <si>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</si>
  <si>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</si>
  <si>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</si>
  <si>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</si>
  <si>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</si>
  <si>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</si>
  <si>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</si>
  <si>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</si>
  <si>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</si>
  <si>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</si>
  <si>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</si>
  <si>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</si>
  <si>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</si>
  <si>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</si>
  <si>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</si>
  <si>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</si>
  <si>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</si>
  <si>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</si>
  <si>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</si>
  <si>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</si>
  <si>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</si>
  <si>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</si>
  <si>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</si>
  <si>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</si>
  <si>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</si>
  <si>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</si>
  <si>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</si>
  <si>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</si>
  <si>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</si>
  <si>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</si>
  <si>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</si>
  <si>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</si>
  <si>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</si>
  <si>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</si>
  <si>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</si>
  <si>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</si>
  <si>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</si>
  <si>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</si>
  <si>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</si>
  <si>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</si>
  <si>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</si>
  <si>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</si>
  <si>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</si>
  <si>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</si>
  <si>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</si>
  <si>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</si>
  <si>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</si>
  <si>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</si>
  <si>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</si>
  <si>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</si>
  <si>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</si>
  <si>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</si>
  <si>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</si>
  <si>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</si>
  <si>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</si>
  <si>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</si>
  <si>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</si>
  <si>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</si>
  <si>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</si>
  <si>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</si>
  <si>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</si>
  <si>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</si>
  <si>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</si>
  <si>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</si>
  <si>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</si>
  <si>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</si>
  <si>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</si>
  <si>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</si>
  <si>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</si>
  <si>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</si>
  <si>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</si>
  <si>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</si>
  <si>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</si>
  <si>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</si>
  <si>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</si>
  <si>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</si>
  <si>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</si>
  <si>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</si>
  <si>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</si>
  <si>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</si>
  <si>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</si>
  <si>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</si>
  <si>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</si>
  <si>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</si>
  <si>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</si>
  <si>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</si>
  <si>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</si>
  <si>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</si>
  <si>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</si>
  <si>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</si>
  <si>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</si>
  <si>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</si>
  <si>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</si>
  <si>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</si>
  <si>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</si>
  <si>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</si>
  <si>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</si>
  <si>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</si>
  <si>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</si>
  <si>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</si>
  <si>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</si>
  <si>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</si>
  <si>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</si>
  <si>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</si>
  <si>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</si>
  <si>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</si>
  <si>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</si>
  <si>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</si>
  <si>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</si>
  <si>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</si>
  <si>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</si>
  <si>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</si>
  <si>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</si>
  <si>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</si>
  <si>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</si>
  <si>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</si>
  <si>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</si>
  <si>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</si>
  <si>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</si>
  <si>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</si>
  <si>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</si>
  <si>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</si>
  <si>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</si>
  <si>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</si>
  <si>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</si>
  <si>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</si>
  <si>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</si>
  <si>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</si>
  <si>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</si>
  <si>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</si>
  <si>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</si>
  <si>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</si>
  <si>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</si>
  <si>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</si>
  <si>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</si>
  <si>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</si>
  <si>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</si>
  <si>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</si>
  <si>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</si>
  <si>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</si>
  <si>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</si>
  <si>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</si>
  <si>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</si>
  <si>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</si>
  <si>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</si>
  <si>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</si>
  <si>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</si>
  <si>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</si>
  <si>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</si>
  <si>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</si>
  <si>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</si>
  <si>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</si>
  <si>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</si>
  <si>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</si>
  <si>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</si>
  <si>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</si>
  <si>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</si>
  <si>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</si>
  <si>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</si>
  <si>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</si>
  <si>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</si>
  <si>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</si>
  <si>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</si>
  <si>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</si>
  <si>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</si>
  <si>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</si>
  <si>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</si>
  <si>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</si>
  <si>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</si>
  <si>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</si>
  <si>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</si>
  <si>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</si>
  <si>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</si>
  <si>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</si>
  <si>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</si>
  <si>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</si>
  <si>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</si>
  <si>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</si>
  <si>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</si>
  <si>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</si>
  <si>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</si>
  <si>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</si>
  <si>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</si>
  <si>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</si>
  <si>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</si>
  <si>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</si>
  <si>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</si>
  <si>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</si>
  <si>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</si>
  <si>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</si>
  <si>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</si>
  <si>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</si>
  <si>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</si>
  <si>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</si>
  <si>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</si>
  <si>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</si>
  <si>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</si>
  <si>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</si>
  <si>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</si>
  <si>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</si>
  <si>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</si>
  <si>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</si>
  <si>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</si>
  <si>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</si>
  <si>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</si>
  <si>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</si>
  <si>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</si>
  <si>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</si>
  <si>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</si>
  <si>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</si>
  <si>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</si>
  <si>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</si>
  <si>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</si>
  <si>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</si>
  <si>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</si>
  <si>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</si>
  <si>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</si>
  <si>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</si>
  <si>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</si>
  <si>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</si>
  <si>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</si>
  <si>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</si>
  <si>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</si>
  <si>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</si>
  <si>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</si>
  <si>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</si>
  <si>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</si>
  <si>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</si>
  <si>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</si>
  <si>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</si>
  <si>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</si>
  <si>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</si>
  <si>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</si>
  <si>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</si>
  <si>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</si>
  <si>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</si>
  <si>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</si>
  <si>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</si>
  <si>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</si>
  <si>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</si>
  <si>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</si>
  <si>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</si>
  <si>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</si>
  <si>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</si>
  <si>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</si>
  <si>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</si>
  <si>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</si>
  <si>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</si>
  <si>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</si>
  <si>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</si>
  <si>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</si>
  <si>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</si>
  <si>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</si>
  <si>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</si>
  <si>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</si>
  <si>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</si>
  <si>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</si>
  <si>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</si>
  <si>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</si>
  <si>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</si>
  <si>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</si>
  <si>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</si>
  <si>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</si>
  <si>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</si>
  <si>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</si>
  <si>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</si>
  <si>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</si>
  <si>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</si>
  <si>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</si>
  <si>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</si>
  <si>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</si>
  <si>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</si>
  <si>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</si>
  <si>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</si>
  <si>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</si>
  <si>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</si>
  <si>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</si>
  <si>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</si>
  <si>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</si>
  <si>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</si>
  <si>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</si>
  <si>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</si>
  <si>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</si>
  <si>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</si>
  <si>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</si>
  <si>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</si>
  <si>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</si>
  <si>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</si>
  <si>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</si>
  <si>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</si>
  <si>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</si>
  <si>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</si>
  <si>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</si>
  <si>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</si>
  <si>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</si>
  <si>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</si>
  <si>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</si>
  <si>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</si>
  <si>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</si>
  <si>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</si>
  <si>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</si>
  <si>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</si>
  <si>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</si>
  <si>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</si>
  <si>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</si>
  <si>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</si>
  <si>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</si>
  <si>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</si>
  <si>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</si>
  <si>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</si>
  <si>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</si>
  <si>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</si>
  <si>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</si>
  <si>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</si>
  <si>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</si>
  <si>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</si>
  <si>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</si>
  <si>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</si>
  <si>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</si>
  <si>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</si>
  <si>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</si>
  <si>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</si>
  <si>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</si>
  <si>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</si>
  <si>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</si>
  <si>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</si>
  <si>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</si>
  <si>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</si>
  <si>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</si>
  <si>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</si>
  <si>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</si>
  <si>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</si>
  <si>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</si>
  <si>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</si>
  <si>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</si>
  <si>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</si>
  <si>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</si>
  <si>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</si>
  <si>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</si>
  <si>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</si>
  <si>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</si>
  <si>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</si>
  <si>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</si>
  <si>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</si>
  <si>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</si>
  <si>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</si>
  <si>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</si>
  <si>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</si>
  <si>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</si>
  <si>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</si>
  <si>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</si>
  <si>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</si>
  <si>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</si>
  <si>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</si>
  <si>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</si>
  <si>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</si>
  <si>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</si>
  <si>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</si>
  <si>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</si>
  <si>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</si>
  <si>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</si>
  <si>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</si>
  <si>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</si>
  <si>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</si>
  <si>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</si>
  <si>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</si>
  <si>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</si>
  <si>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</si>
  <si>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</si>
  <si>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</si>
  <si>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</si>
  <si>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</si>
  <si>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</si>
  <si>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</si>
  <si>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</si>
  <si>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</si>
  <si>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</si>
  <si>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</si>
  <si>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</si>
  <si>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</si>
  <si>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</si>
  <si>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</si>
  <si>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</si>
  <si>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</si>
  <si>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</si>
  <si>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</si>
  <si>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</si>
  <si>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</si>
  <si>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</si>
  <si>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</si>
  <si>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</si>
  <si>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</si>
  <si>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</si>
  <si>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</si>
  <si>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</si>
  <si>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</si>
  <si>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</si>
  <si>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</si>
  <si>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</si>
  <si>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</si>
  <si>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</si>
  <si>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</si>
  <si>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</si>
  <si>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</si>
  <si>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</si>
  <si>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</si>
  <si>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</si>
  <si>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</si>
  <si>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</si>
  <si>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</si>
  <si>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</si>
  <si>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</si>
  <si>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</si>
  <si>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</si>
  <si>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</si>
  <si>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</si>
  <si>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</si>
  <si>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</si>
  <si>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</si>
  <si>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</si>
  <si>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</si>
  <si>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</si>
  <si>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</si>
  <si>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</si>
  <si>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</si>
  <si>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</si>
  <si>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</si>
  <si>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</si>
  <si>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</si>
  <si>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</si>
  <si>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</si>
  <si>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</si>
  <si>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</si>
  <si>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</si>
  <si>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</si>
  <si>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</si>
  <si>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</si>
  <si>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</si>
  <si>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</si>
  <si>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</si>
  <si>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</si>
  <si>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</si>
  <si>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</si>
  <si>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</si>
  <si>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</si>
  <si>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</si>
  <si>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</si>
  <si>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</si>
  <si>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</si>
  <si>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</si>
  <si>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</si>
  <si>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</si>
  <si>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</si>
  <si>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</si>
  <si>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</si>
  <si>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</si>
  <si>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</si>
  <si>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</si>
  <si>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</si>
  <si>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</si>
  <si>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</si>
  <si>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</si>
  <si>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</si>
  <si>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</si>
  <si>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</si>
  <si>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</si>
  <si>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</si>
  <si>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</si>
  <si>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</si>
  <si>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</si>
  <si>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</si>
  <si>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</si>
  <si>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</si>
  <si>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</si>
  <si>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</si>
  <si>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</si>
  <si>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</si>
  <si>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</si>
  <si>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</si>
  <si>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</si>
  <si>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</si>
  <si>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</si>
  <si>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</si>
  <si>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</si>
  <si>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</si>
  <si>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</si>
  <si>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</si>
  <si>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</si>
  <si>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</si>
  <si>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</si>
  <si>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</si>
  <si>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</si>
  <si>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</si>
  <si>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</si>
  <si>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</si>
  <si>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</si>
  <si>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</si>
  <si>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</si>
  <si>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</si>
  <si>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</si>
  <si>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</si>
  <si>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</si>
  <si>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</si>
  <si>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</si>
  <si>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</si>
  <si>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</si>
  <si>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</si>
  <si>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</si>
  <si>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</si>
  <si>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</si>
  <si>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</si>
  <si>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</si>
  <si>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</si>
  <si>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</si>
  <si>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</si>
  <si>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</si>
  <si>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</si>
  <si>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</si>
  <si>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</si>
  <si>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</si>
  <si>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</si>
  <si>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</si>
  <si>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</si>
  <si>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</si>
  <si>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</si>
  <si>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</si>
  <si>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</si>
  <si>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</si>
  <si>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</si>
  <si>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</si>
  <si>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</si>
  <si>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</si>
  <si>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</si>
  <si>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</si>
  <si>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</si>
  <si>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</si>
  <si>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</si>
  <si>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</si>
  <si>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</si>
  <si>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</si>
  <si>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</si>
  <si>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</si>
  <si>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</si>
  <si>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</si>
  <si>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</si>
  <si>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</si>
  <si>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</si>
  <si>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</si>
  <si>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</si>
  <si>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</si>
  <si>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</si>
  <si>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</si>
  <si>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</si>
  <si>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</si>
  <si>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</si>
  <si>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</si>
  <si>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</si>
  <si>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</si>
  <si>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</si>
  <si>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</si>
  <si>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</si>
  <si>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</si>
  <si>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</si>
  <si>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</si>
  <si>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</si>
  <si>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</si>
  <si>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</si>
  <si>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</si>
  <si>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</si>
  <si>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</si>
  <si>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</si>
  <si>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</si>
  <si>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</si>
  <si>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</si>
  <si>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</si>
  <si>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</si>
  <si>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</si>
  <si>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</si>
  <si>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</si>
  <si>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</si>
  <si>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</si>
  <si>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</si>
  <si>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</si>
  <si>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</si>
  <si>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</si>
  <si>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</si>
  <si>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</si>
  <si>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</si>
  <si>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</si>
  <si>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</si>
  <si>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</si>
  <si>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</si>
  <si>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</si>
  <si>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</si>
  <si>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</si>
  <si>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</si>
  <si>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</si>
  <si>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</si>
  <si>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</si>
  <si>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</si>
  <si>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</si>
  <si>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</si>
  <si>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</si>
  <si>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</si>
  <si>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</si>
  <si>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</si>
  <si>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</si>
  <si>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</si>
  <si>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</si>
  <si>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</si>
  <si>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</si>
  <si>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</si>
  <si>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</si>
  <si>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</si>
  <si>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</si>
  <si>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</si>
  <si>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</si>
  <si>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</si>
  <si>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</si>
  <si>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</si>
  <si>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</si>
  <si>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</si>
  <si>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</si>
  <si>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</si>
  <si>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</si>
  <si>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</si>
  <si>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</si>
  <si>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</si>
  <si>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</si>
  <si>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</si>
  <si>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</si>
  <si>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</si>
  <si>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</si>
  <si>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</si>
  <si>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</si>
  <si>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</si>
  <si>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</si>
  <si>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</si>
  <si>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</si>
  <si>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</si>
  <si>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</si>
  <si>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</si>
  <si>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</si>
  <si>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</si>
  <si>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</si>
  <si>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</si>
  <si>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</si>
  <si>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</si>
  <si>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</si>
  <si>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</si>
  <si>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</si>
  <si>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</si>
  <si>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</si>
  <si>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</si>
  <si>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</si>
  <si>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</si>
  <si>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</si>
  <si>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</si>
  <si>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</si>
  <si>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</si>
  <si>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</si>
  <si>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</si>
  <si>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</si>
  <si>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</si>
  <si>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</si>
  <si>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</si>
  <si>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</si>
  <si>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</si>
  <si>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</si>
  <si>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</si>
  <si>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</si>
  <si>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</si>
  <si>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</si>
  <si>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</si>
  <si>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</si>
  <si>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</si>
  <si>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</si>
  <si>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</si>
  <si>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</si>
  <si>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</si>
  <si>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</si>
  <si>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</si>
  <si>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</si>
  <si>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</si>
  <si>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</si>
  <si>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</si>
  <si>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</si>
  <si>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</si>
  <si>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</si>
  <si>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</si>
  <si>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</si>
  <si>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</si>
  <si>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</si>
  <si>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</si>
  <si>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</si>
  <si>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</si>
  <si>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</si>
  <si>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</si>
  <si>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</si>
  <si>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</si>
  <si>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</si>
  <si>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</si>
  <si>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</si>
  <si>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</si>
  <si>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</si>
  <si>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</si>
  <si>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</si>
  <si>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</si>
  <si>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</si>
  <si>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</si>
  <si>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</si>
  <si>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</si>
  <si>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</si>
  <si>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</si>
  <si>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</si>
  <si>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</si>
  <si>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</si>
  <si>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</si>
  <si>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</si>
  <si>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</si>
  <si>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</si>
  <si>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</si>
  <si>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</si>
  <si>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</si>
  <si>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</si>
  <si>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</si>
  <si>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</si>
  <si>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</si>
  <si>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</si>
  <si>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</si>
  <si>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</si>
  <si>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</si>
  <si>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</si>
  <si>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</si>
  <si>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</si>
  <si>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</si>
  <si>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</si>
  <si>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</si>
  <si>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</si>
  <si>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</si>
  <si>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</si>
  <si>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</si>
  <si>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</si>
  <si>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</si>
  <si>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</si>
  <si>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</si>
  <si>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</si>
  <si>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</si>
  <si>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</si>
  <si>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</si>
  <si>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</si>
  <si>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</si>
  <si>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</si>
  <si>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</si>
  <si>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</si>
  <si>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</si>
  <si>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</si>
  <si>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</si>
  <si>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</si>
  <si>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</si>
  <si>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</si>
  <si>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</si>
  <si>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</si>
  <si>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</si>
  <si>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</si>
  <si>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</si>
  <si>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</si>
  <si>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</si>
  <si>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</si>
  <si>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</si>
  <si>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</si>
  <si>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</si>
  <si>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</si>
  <si>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</si>
  <si>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</si>
  <si>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</si>
  <si>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</si>
  <si>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</si>
  <si>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</si>
  <si>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</si>
  <si>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</si>
  <si>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</si>
  <si>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</si>
  <si>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</si>
  <si>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</si>
  <si>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</si>
  <si>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</si>
  <si>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</si>
  <si>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</si>
  <si>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</si>
  <si>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</si>
  <si>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</si>
  <si>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</si>
  <si>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</si>
  <si>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</si>
  <si>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</si>
  <si>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</si>
  <si>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</si>
  <si>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</si>
  <si>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</si>
  <si>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</si>
  <si>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</si>
  <si>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</si>
  <si>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</si>
  <si>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</si>
  <si>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</si>
  <si>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</si>
  <si>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</si>
  <si>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</si>
  <si>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</si>
  <si>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</si>
  <si>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</si>
  <si>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</si>
  <si>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</si>
  <si>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</si>
  <si>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</si>
  <si>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</si>
  <si>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</si>
  <si>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</si>
  <si>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</si>
  <si>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</si>
  <si>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</si>
  <si>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</si>
  <si>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</si>
  <si>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</si>
  <si>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</si>
  <si>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</si>
  <si>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</si>
  <si>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</si>
  <si>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</si>
  <si>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</si>
  <si>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</si>
  <si>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</si>
  <si>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</si>
  <si>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</si>
  <si>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</si>
  <si>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</si>
  <si>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</si>
  <si>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</si>
  <si>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</si>
  <si>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</si>
  <si>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</si>
  <si>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</si>
  <si>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</si>
  <si>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</si>
  <si>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</si>
  <si>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</si>
  <si>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</si>
  <si>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</si>
  <si>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</si>
  <si>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</si>
  <si>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</si>
  <si>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</si>
  <si>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</si>
  <si>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</si>
  <si>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</si>
  <si>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</si>
  <si>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</si>
  <si>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</si>
  <si>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</si>
  <si>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</si>
  <si>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</si>
  <si>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</si>
  <si>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</si>
  <si>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</si>
  <si>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</si>
  <si>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</si>
  <si>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</si>
  <si>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</si>
  <si>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</si>
  <si>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</si>
  <si>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</si>
  <si>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</si>
  <si>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</si>
  <si>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</si>
  <si>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</si>
  <si>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</si>
  <si>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</si>
  <si>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</si>
  <si>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</si>
  <si>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</si>
  <si>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</si>
  <si>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</si>
  <si>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</si>
  <si>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</si>
  <si>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</si>
  <si>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</si>
  <si>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</si>
  <si>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</si>
  <si>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</si>
  <si>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</si>
  <si>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</si>
  <si>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</si>
  <si>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</si>
  <si>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</si>
  <si>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</si>
  <si>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</si>
  <si>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</si>
  <si>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</si>
  <si>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</si>
  <si>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</si>
  <si>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</si>
  <si>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</si>
  <si>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</si>
  <si>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</si>
  <si>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</si>
  <si>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</si>
  <si>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</si>
  <si>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</si>
  <si>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</si>
  <si>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</si>
  <si>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</si>
  <si>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</si>
  <si>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</si>
  <si>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</si>
  <si>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</si>
  <si>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</si>
  <si>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</si>
  <si>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</si>
  <si>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</si>
  <si>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</si>
  <si>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</si>
  <si>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</si>
  <si>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</si>
  <si>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</si>
  <si>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</si>
  <si>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</si>
  <si>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</si>
  <si>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</si>
  <si>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</si>
  <si>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</si>
  <si>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</si>
  <si>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</si>
  <si>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</si>
  <si>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</si>
  <si>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</si>
  <si>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</si>
  <si>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</si>
  <si>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</si>
  <si>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</si>
  <si>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</si>
  <si>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</si>
  <si>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</si>
  <si>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</si>
  <si>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</si>
  <si>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</si>
  <si>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</si>
  <si>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</si>
  <si>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</si>
  <si>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</si>
  <si>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</si>
  <si>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</si>
  <si>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</si>
  <si>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</si>
  <si>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</si>
  <si>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</si>
  <si>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</si>
  <si>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</si>
  <si>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</si>
  <si>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</si>
  <si>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</si>
  <si>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</si>
  <si>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</si>
  <si>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</si>
  <si>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</si>
  <si>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</si>
  <si>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</si>
  <si>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</si>
  <si>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</si>
  <si>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</si>
  <si>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</si>
  <si>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</si>
  <si>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</si>
  <si>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</si>
  <si>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</si>
  <si>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</si>
  <si>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</si>
  <si>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</si>
  <si>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</si>
  <si>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</si>
  <si>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</si>
  <si>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</si>
  <si>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</si>
  <si>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</si>
  <si>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</si>
  <si>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</si>
  <si>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</si>
  <si>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</si>
  <si>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</si>
  <si>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</si>
  <si>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</si>
  <si>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</si>
  <si>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</si>
  <si>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</si>
  <si>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</si>
  <si>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</si>
  <si>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</si>
  <si>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</si>
  <si>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</si>
  <si>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</si>
  <si>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</si>
  <si>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</si>
  <si>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</si>
  <si>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</si>
  <si>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</si>
  <si>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</si>
  <si>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</si>
  <si>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</si>
  <si>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</si>
  <si>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</si>
  <si>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</si>
  <si>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</si>
  <si>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</si>
  <si>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</si>
  <si>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</si>
  <si>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</si>
  <si>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</si>
  <si>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</si>
  <si>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</si>
  <si>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</si>
  <si>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</si>
  <si>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</si>
  <si>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</si>
  <si>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</si>
  <si>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</si>
  <si>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</si>
  <si>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</si>
  <si>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</si>
  <si>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</si>
  <si>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</si>
  <si>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</si>
  <si>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</si>
  <si>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</si>
  <si>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</si>
  <si>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</si>
  <si>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</si>
  <si>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</si>
  <si>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</si>
  <si>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</si>
  <si>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</si>
  <si>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</si>
  <si>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</si>
  <si>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</si>
  <si>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</si>
  <si>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</si>
  <si>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</si>
  <si>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</si>
  <si>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</si>
  <si>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</si>
  <si>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</si>
  <si>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</si>
  <si>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</si>
  <si>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</si>
  <si>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</si>
  <si>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</si>
  <si>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</si>
  <si>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</si>
  <si>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</si>
  <si>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</si>
  <si>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</si>
  <si>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</si>
  <si>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</si>
  <si>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</si>
  <si>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</si>
  <si>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</si>
  <si>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</si>
  <si>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</si>
  <si>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</si>
  <si>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</si>
  <si>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</si>
  <si>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</si>
  <si>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</si>
  <si>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</si>
  <si>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</si>
  <si>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</si>
  <si>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</si>
  <si>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</si>
  <si>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</si>
  <si>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</si>
  <si>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</si>
  <si>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</si>
  <si>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</si>
  <si>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</si>
  <si>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</si>
  <si>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</si>
  <si>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</si>
  <si>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</si>
  <si>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</si>
  <si>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</si>
  <si>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</si>
  <si>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</si>
  <si>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</si>
  <si>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</si>
  <si>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</si>
  <si>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</si>
  <si>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</si>
  <si>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</si>
  <si>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</si>
  <si>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</si>
  <si>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</si>
  <si>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</si>
  <si>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</si>
  <si>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</si>
  <si>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</si>
  <si>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</si>
  <si>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</si>
  <si>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</si>
  <si>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</si>
  <si>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</si>
  <si>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</si>
  <si>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</si>
  <si>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</si>
  <si>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</si>
  <si>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</si>
  <si>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</si>
  <si>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</si>
  <si>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</si>
  <si>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</si>
  <si>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</si>
  <si>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</si>
  <si>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</si>
  <si>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</si>
  <si>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</si>
  <si>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</si>
  <si>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</si>
  <si>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</si>
  <si>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</si>
  <si>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</si>
  <si>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</si>
  <si>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</si>
  <si>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</si>
  <si>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</si>
  <si>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</si>
  <si>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</si>
  <si>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</si>
  <si>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</si>
  <si>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</si>
  <si>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</si>
  <si>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</si>
  <si>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</si>
  <si>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</si>
  <si>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</si>
  <si>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</si>
  <si>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</si>
  <si>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</si>
  <si>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</si>
  <si>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</si>
  <si>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</si>
  <si>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</si>
  <si>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</si>
  <si>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</si>
  <si>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</si>
  <si>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</si>
  <si>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</si>
  <si>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</si>
  <si>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</si>
  <si>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</si>
  <si>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</si>
  <si>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</si>
  <si>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</si>
  <si>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</si>
  <si>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</si>
  <si>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</si>
  <si>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</si>
  <si>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</si>
  <si>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</si>
  <si>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</si>
  <si>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</si>
  <si>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</si>
  <si>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</si>
  <si>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</si>
  <si>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</si>
  <si>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</si>
  <si>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</si>
  <si>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</si>
  <si>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</si>
  <si>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</si>
  <si>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</si>
  <si>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</si>
  <si>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</si>
  <si>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</si>
  <si>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</si>
  <si>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</si>
  <si>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</si>
  <si>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</si>
  <si>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</si>
  <si>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</si>
  <si>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</si>
  <si>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</si>
  <si>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</si>
  <si>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</si>
  <si>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</si>
  <si>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</si>
  <si>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</si>
  <si>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</si>
  <si>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</si>
  <si>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</si>
  <si>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</si>
  <si>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</si>
  <si>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</si>
  <si>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</si>
  <si>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</si>
  <si>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</si>
  <si>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</si>
  <si>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</si>
  <si>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</si>
  <si>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</si>
  <si>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</si>
  <si>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</si>
  <si>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</si>
  <si>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</si>
  <si>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</si>
  <si>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</si>
  <si>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</si>
  <si>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</si>
  <si>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</si>
  <si>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</si>
  <si>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</si>
  <si>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</si>
  <si>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</si>
  <si>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</si>
  <si>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</si>
  <si>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</si>
  <si>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</si>
  <si>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</si>
  <si>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</si>
  <si>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</si>
  <si>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</si>
  <si>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</si>
  <si>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</si>
  <si>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</si>
  <si>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</si>
  <si>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</si>
  <si>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</si>
  <si>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</si>
  <si>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</si>
  <si>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</si>
  <si>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</si>
  <si>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</si>
  <si>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</si>
  <si>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</si>
  <si>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</si>
  <si>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</si>
  <si>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</si>
  <si>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</si>
  <si>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</si>
  <si>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</si>
  <si>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</si>
  <si>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</si>
  <si>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</si>
  <si>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</si>
  <si>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</si>
  <si>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</si>
  <si>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</si>
  <si>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</si>
  <si>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</si>
  <si>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</si>
  <si>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</si>
  <si>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</si>
  <si>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</si>
  <si>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</si>
  <si>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</si>
  <si>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</si>
  <si>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</si>
  <si>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</si>
  <si>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</si>
  <si>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</si>
  <si>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</si>
  <si>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</si>
  <si>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</si>
  <si>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</si>
  <si>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</si>
  <si>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</si>
  <si>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</si>
  <si>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</si>
  <si>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</si>
  <si>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</si>
  <si>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</si>
  <si>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</si>
  <si>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</si>
  <si>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</si>
  <si>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</si>
  <si>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</si>
  <si>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</si>
  <si>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</si>
  <si>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</si>
  <si>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</si>
  <si>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</si>
  <si>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</si>
  <si>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</si>
  <si>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</si>
  <si>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</si>
  <si>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</si>
  <si>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</si>
  <si>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</si>
  <si>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</si>
  <si>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</si>
  <si>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</si>
  <si>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</si>
  <si>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</si>
  <si>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</si>
  <si>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</si>
  <si>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</si>
  <si>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</si>
  <si>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</si>
  <si>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</si>
  <si>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</si>
  <si>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</si>
  <si>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</si>
  <si>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</si>
  <si>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</si>
  <si>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</si>
  <si>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</si>
  <si>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</si>
  <si>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</si>
  <si>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</si>
  <si>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</si>
  <si>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</si>
  <si>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</si>
  <si>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</si>
  <si>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</si>
  <si>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</si>
  <si>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</si>
  <si>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</si>
  <si>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</si>
  <si>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</si>
  <si>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</si>
  <si>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</si>
  <si>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</si>
  <si>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</si>
  <si>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</si>
  <si>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</si>
  <si>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</si>
  <si>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</si>
  <si>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</si>
  <si>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</si>
  <si>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</si>
  <si>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</si>
  <si>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</si>
  <si>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</si>
  <si>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</si>
  <si>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</si>
  <si>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</si>
  <si>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</si>
  <si>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</si>
  <si>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</si>
  <si>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</si>
  <si>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</si>
  <si>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</si>
  <si>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</si>
  <si>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</si>
  <si>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</si>
  <si>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</si>
  <si>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</si>
  <si>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</si>
  <si>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</si>
  <si>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</si>
  <si>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</si>
  <si>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</si>
  <si>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</si>
  <si>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</si>
  <si>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</si>
  <si>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</si>
  <si>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</si>
  <si>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</si>
  <si>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</si>
  <si>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</si>
  <si>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</si>
  <si>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</si>
  <si>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</si>
  <si>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</si>
  <si>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</si>
  <si>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</si>
  <si>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</si>
  <si>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</si>
  <si>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</si>
  <si>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</si>
  <si>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</si>
  <si>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</si>
  <si>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</si>
  <si>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</si>
  <si>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</si>
  <si>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</si>
  <si>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</si>
  <si>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</si>
  <si>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</si>
  <si>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</si>
  <si>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</si>
  <si>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</si>
  <si>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</si>
  <si>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</si>
  <si>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</si>
  <si>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</si>
  <si>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</si>
  <si>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</si>
  <si>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</si>
  <si>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</si>
  <si>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</si>
  <si>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</si>
  <si>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</si>
  <si>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</si>
  <si>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</si>
  <si>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</si>
  <si>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</si>
  <si>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</si>
  <si>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</si>
  <si>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</si>
  <si>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</si>
  <si>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</si>
  <si>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</si>
  <si>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</si>
  <si>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</si>
  <si>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</si>
  <si>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</si>
  <si>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</si>
  <si>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</si>
  <si>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</si>
  <si>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</si>
  <si>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</si>
  <si>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</si>
  <si>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</si>
  <si>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</si>
  <si>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</si>
  <si>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</si>
  <si>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</si>
  <si>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</si>
  <si>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</si>
  <si>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</si>
  <si>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</si>
  <si>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</si>
  <si>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</si>
  <si>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</si>
  <si>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</si>
  <si>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</si>
  <si>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</si>
  <si>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</si>
  <si>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</si>
  <si>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</si>
  <si>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</si>
  <si>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</si>
  <si>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</si>
  <si>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</si>
  <si>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</si>
  <si>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</si>
  <si>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</si>
  <si>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</si>
  <si>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</si>
  <si>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</si>
  <si>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</si>
  <si>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</si>
  <si>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</si>
  <si>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</si>
  <si>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</si>
  <si>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</si>
  <si>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</si>
  <si>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</si>
  <si>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</si>
  <si>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</si>
  <si>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</si>
  <si>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</si>
  <si>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</si>
  <si>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</si>
  <si>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</si>
  <si>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</si>
  <si>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</si>
  <si>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</si>
  <si>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</si>
  <si>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</si>
  <si>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</si>
  <si>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</si>
  <si>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</si>
  <si>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</si>
  <si>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</si>
  <si>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</si>
  <si>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</si>
  <si>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</si>
  <si>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</si>
  <si>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</si>
  <si>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</si>
  <si>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</si>
  <si>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</si>
  <si>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</si>
  <si>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</si>
  <si>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</si>
  <si>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</si>
  <si>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</si>
  <si>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</si>
  <si>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</si>
  <si>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</si>
  <si>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</si>
  <si>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</si>
  <si>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</si>
  <si>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</si>
  <si>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</si>
  <si>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</si>
  <si>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</si>
  <si>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</si>
  <si>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</si>
  <si>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</si>
  <si>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</si>
  <si>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</si>
  <si>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</si>
  <si>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</si>
  <si>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</si>
  <si>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</si>
  <si>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</si>
  <si>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</si>
  <si>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</si>
  <si>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</si>
  <si>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</si>
  <si>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</si>
  <si>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</si>
  <si>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</si>
  <si>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</si>
  <si>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</si>
  <si>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</si>
  <si>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</si>
  <si>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</si>
  <si>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</si>
  <si>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</si>
  <si>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</si>
  <si>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</si>
  <si>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</si>
  <si>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</si>
  <si>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</si>
  <si>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</si>
  <si>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</si>
  <si>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</si>
  <si>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</si>
  <si>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</si>
  <si>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</si>
  <si>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</si>
  <si>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</si>
  <si>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</si>
  <si>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</si>
  <si>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</si>
  <si>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</si>
  <si>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</si>
  <si>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</si>
  <si>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</si>
  <si>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</si>
  <si>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</si>
  <si>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</si>
  <si>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</si>
  <si>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</si>
  <si>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</si>
  <si>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</si>
  <si>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</si>
  <si>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</si>
  <si>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</si>
  <si>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</si>
  <si>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</si>
  <si>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</si>
  <si>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</si>
  <si>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</si>
  <si>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</si>
  <si>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</si>
  <si>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</si>
  <si>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</si>
  <si>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</si>
  <si>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</si>
  <si>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</si>
  <si>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</si>
  <si>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</si>
  <si>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</si>
  <si>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</si>
  <si>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</si>
  <si>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</si>
  <si>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</si>
  <si>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</si>
  <si>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</si>
  <si>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</si>
  <si>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</si>
  <si>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</si>
  <si>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</si>
  <si>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</si>
  <si>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</si>
  <si>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</si>
  <si>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</si>
  <si>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</si>
  <si>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</si>
  <si>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</si>
  <si>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</si>
  <si>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</si>
  <si>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</si>
  <si>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</si>
  <si>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</si>
  <si>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</si>
  <si>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</si>
  <si>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</si>
  <si>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</si>
  <si>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</si>
  <si>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</si>
  <si>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</si>
  <si>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</si>
  <si>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</si>
  <si>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</si>
  <si>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</si>
  <si>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</si>
  <si>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</si>
  <si>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</si>
  <si>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</si>
  <si>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</si>
  <si>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</si>
  <si>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</si>
  <si>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</si>
  <si>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</si>
  <si>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</si>
  <si>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</si>
  <si>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</si>
  <si>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</si>
  <si>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</si>
  <si>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</si>
  <si>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</si>
  <si>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</si>
  <si>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</si>
  <si>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</si>
  <si>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</si>
  <si>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</si>
  <si>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</si>
  <si>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</si>
  <si>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</si>
  <si>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</si>
  <si>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</si>
  <si>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</si>
  <si>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</si>
  <si>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</si>
  <si>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</si>
  <si>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</si>
  <si>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</si>
  <si>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</si>
  <si>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</si>
  <si>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</si>
  <si>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</si>
  <si>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</si>
  <si>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</si>
  <si>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</si>
  <si>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</si>
  <si>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</si>
  <si>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</si>
  <si>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</si>
  <si>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</si>
  <si>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</si>
  <si>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</si>
  <si>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</si>
  <si>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</si>
  <si>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</si>
  <si>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</si>
  <si>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</si>
  <si>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</si>
  <si>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</si>
  <si>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</si>
  <si>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</si>
  <si>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</si>
  <si>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</si>
  <si>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</si>
  <si>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</si>
  <si>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</si>
  <si>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</si>
  <si>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</si>
  <si>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</si>
  <si>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</si>
  <si>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</si>
  <si>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</si>
  <si>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</si>
  <si>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</si>
  <si>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</si>
  <si>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</si>
  <si>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</si>
  <si>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</si>
  <si>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</si>
  <si>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</si>
  <si>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</si>
  <si>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</si>
  <si>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</si>
  <si>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</si>
  <si>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</si>
  <si>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</si>
  <si>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</si>
  <si>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</si>
  <si>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</si>
  <si>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</si>
  <si>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</si>
  <si>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</si>
  <si>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</si>
  <si>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</si>
  <si>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</si>
  <si>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</si>
  <si>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</si>
  <si>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</si>
  <si>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</si>
  <si>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</si>
  <si>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</si>
  <si>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</si>
  <si>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</si>
  <si>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</si>
  <si>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</si>
  <si>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</si>
  <si>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</si>
  <si>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</si>
  <si>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</si>
  <si>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</si>
  <si>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</si>
  <si>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</si>
  <si>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</si>
  <si>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</si>
  <si>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</si>
  <si>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</si>
  <si>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</si>
  <si>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</si>
  <si>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</si>
  <si>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</si>
  <si>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</si>
  <si>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</si>
  <si>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</si>
  <si>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</si>
  <si>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</si>
  <si>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</si>
  <si>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</si>
  <si>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</si>
  <si>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</si>
  <si>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</si>
  <si>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</si>
  <si>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</si>
  <si>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</si>
  <si>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</si>
  <si>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</si>
  <si>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</si>
  <si>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</si>
  <si>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</si>
  <si>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</si>
  <si>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</si>
  <si>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</si>
  <si>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</si>
  <si>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</si>
  <si>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</si>
  <si>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</si>
  <si>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</si>
  <si>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</si>
  <si>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</si>
  <si>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</si>
  <si>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</si>
  <si>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</si>
  <si>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</si>
  <si>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</si>
  <si>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</si>
  <si>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</si>
  <si>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</si>
  <si>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</si>
  <si>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</si>
  <si>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</si>
  <si>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</si>
  <si>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</si>
  <si>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</si>
  <si>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</si>
  <si>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</si>
  <si>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</si>
  <si>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</si>
  <si>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</si>
  <si>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</si>
  <si>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</si>
  <si>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</si>
  <si>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</si>
  <si>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</si>
  <si>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</si>
  <si>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</si>
  <si>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</si>
  <si>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</si>
  <si>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</si>
  <si>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</si>
  <si>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</si>
  <si>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</si>
  <si>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</si>
  <si>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</si>
  <si>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</si>
  <si>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</si>
  <si>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</si>
  <si>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</si>
  <si>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</si>
  <si>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</si>
  <si>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</si>
  <si>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</si>
  <si>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</si>
  <si>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</si>
  <si>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</si>
  <si>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</si>
  <si>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</si>
  <si>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</si>
  <si>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</si>
  <si>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</si>
  <si>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</si>
  <si>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</si>
  <si>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</si>
  <si>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</si>
  <si>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</si>
  <si>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</si>
  <si>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</si>
  <si>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</si>
  <si>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</si>
  <si>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</si>
  <si>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</si>
  <si>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</si>
  <si>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</si>
  <si>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</si>
  <si>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</si>
  <si>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</si>
  <si>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</si>
  <si>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</si>
  <si>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</si>
  <si>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</si>
  <si>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</si>
  <si>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</si>
  <si>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</si>
  <si>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</si>
  <si>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</si>
  <si>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</si>
  <si>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</si>
  <si>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</si>
  <si>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</si>
  <si>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</si>
  <si>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</si>
  <si>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</si>
  <si>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</si>
  <si>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</si>
  <si>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</si>
  <si>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</si>
  <si>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</si>
  <si>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</si>
  <si>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</si>
  <si>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</si>
  <si>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</si>
  <si>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</si>
  <si>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</si>
  <si>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</si>
  <si>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</si>
  <si>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</si>
  <si>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</si>
  <si>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</si>
  <si>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</si>
  <si>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</si>
  <si>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</si>
  <si>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</si>
  <si>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</si>
  <si>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</si>
  <si>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</si>
  <si>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</si>
  <si>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</si>
  <si>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</si>
  <si>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</si>
  <si>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</si>
  <si>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</si>
  <si>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</si>
  <si>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</si>
  <si>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</si>
  <si>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</si>
  <si>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</si>
  <si>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</si>
  <si>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</si>
  <si>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</si>
  <si>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</si>
  <si>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</si>
  <si>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</si>
  <si>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</si>
  <si>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</si>
  <si>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</si>
  <si>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</si>
  <si>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</si>
  <si>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</si>
  <si>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</si>
  <si>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</si>
  <si>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</si>
  <si>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</si>
  <si>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</si>
  <si>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</si>
  <si>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</si>
  <si>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</si>
  <si>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</si>
  <si>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</si>
  <si>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</si>
  <si>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 xml:space="preserve">Roast Type Name </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</si>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</sst>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 &quot;kg&quot;"/>
    <numFmt numFmtId="167"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cellXfs>
  <cellStyles count="1">
    <cellStyle name="Normal" xfId="0" builtinId="0"/>
  </cellStyles>
  <dxfs count="15">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 formatCode="#,##0"/>
    </dxf>
    <dxf>
      <numFmt numFmtId="3" formatCode="#,##0"/>
    </dxf>
    <dxf>
      <numFmt numFmtId="34" formatCode="_(&quot;$&quot;* #,##0.00_);_(&quot;$&quot;* \(#,##0.00\);_(&quot;$&quot;* &quot;-&quot;??_);_(@_)"/>
    </dxf>
  </dxfs>
  <tableStyles count="0" defaultTableStyle="TableStyleMedium2" defaultPivotStyle="PivotStyleMedium9"/>
  <colors>
    <mruColors>
      <color rgb="FFE37879"/>
      <color rgb="FFFFBFBB"/>
      <color rgb="FFFFE2D5"/>
      <color rgb="FF9A4612"/>
      <color rgb="FFE7AA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[coffeeOrdersData.xlsx]Total Sales !TotalSales</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Total</a:t>
            </a:r>
            <a:r>
              <a:rPr lang="en-US" b="1" baseline="0">
                <a:solidFill>
                  <a:schemeClr val="dk1"/>
                </a:solidFill>
                <a:latin typeface="+mn-lt"/>
                <a:ea typeface="+mn-ea"/>
                <a:cs typeface="+mn-cs"/>
              </a:rPr>
              <a:t> Sales Over Time</a:t>
            </a:r>
            <a:endParaRPr lang="en-US" b="1">
              <a:solidFill>
                <a:schemeClr val="dk1"/>
              </a:solidFill>
              <a:latin typeface="+mn-lt"/>
              <a:ea typeface="+mn-ea"/>
              <a:cs typeface="+mn-cs"/>
            </a:endParaRPr>
          </a:p>
          <a:p>
            <a:pPr>
              <a:defRPr>
                <a:solidFill>
                  <a:schemeClr val="dk1"/>
                </a:solidFill>
              </a:defRPr>
            </a:pPr>
            <a:endParaRPr lang="en-US"/>
          </a:p>
        </c:rich>
      </c:tx>
      <c:layout>
        <c:manualLayout>
          <c:xMode val="edge"/>
          <c:yMode val="edge"/>
          <c:x val="0.41142798729106228"/>
          <c:y val="1.7902813299232736E-2"/>
        </c:manualLayout>
      </c:layout>
      <c:overlay val="0"/>
      <c:spPr>
        <a:noFill/>
        <a:ln w="1270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rgbClr val="E3787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E3787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E3787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'!$C$3:$C$4</c:f>
              <c:strCache>
                <c:ptCount val="1"/>
                <c:pt idx="0">
                  <c:v>Arabica</c:v>
                </c:pt>
              </c:strCache>
            </c:strRef>
          </c:tx>
          <c:spPr>
            <a:ln w="28575" cap="rnd">
              <a:solidFill>
                <a:schemeClr val="accent6">
                  <a:lumMod val="40000"/>
                  <a:lumOff val="60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7EC-3A41-91C6-B64577C07886}"/>
            </c:ext>
          </c:extLst>
        </c:ser>
        <c:ser>
          <c:idx val="1"/>
          <c:order val="1"/>
          <c:tx>
            <c:strRef>
              <c:f>'Total Sales '!$D$3:$D$4</c:f>
              <c:strCache>
                <c:ptCount val="1"/>
                <c:pt idx="0">
                  <c:v>Excelsa</c:v>
                </c:pt>
              </c:strCache>
            </c:strRef>
          </c:tx>
          <c:spPr>
            <a:ln w="28575" cap="rnd">
              <a:solidFill>
                <a:schemeClr val="accent2">
                  <a:tint val="86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7EC-3A41-91C6-B64577C07886}"/>
            </c:ext>
          </c:extLst>
        </c:ser>
        <c:ser>
          <c:idx val="2"/>
          <c:order val="2"/>
          <c:tx>
            <c:strRef>
              <c:f>'Total Sales '!$E$3:$E$4</c:f>
              <c:strCache>
                <c:ptCount val="1"/>
                <c:pt idx="0">
                  <c:v>Liberica</c:v>
                </c:pt>
              </c:strCache>
            </c:strRef>
          </c:tx>
          <c:spPr>
            <a:ln w="28575" cap="rnd">
              <a:solidFill>
                <a:schemeClr val="accent1">
                  <a:lumMod val="75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7EC-3A41-91C6-B64577C07886}"/>
            </c:ext>
          </c:extLst>
        </c:ser>
        <c:ser>
          <c:idx val="3"/>
          <c:order val="3"/>
          <c:tx>
            <c:strRef>
              <c:f>'Total Sales '!$F$3:$F$4</c:f>
              <c:strCache>
                <c:ptCount val="1"/>
                <c:pt idx="0">
                  <c:v>Robusta</c:v>
                </c:pt>
              </c:strCache>
            </c:strRef>
          </c:tx>
          <c:spPr>
            <a:ln w="28575" cap="rnd">
              <a:solidFill>
                <a:srgbClr val="E3787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7EC-3A41-91C6-B64577C07886}"/>
            </c:ext>
          </c:extLst>
        </c:ser>
        <c:dLbls>
          <c:showLegendKey val="0"/>
          <c:showVal val="0"/>
          <c:showCatName val="0"/>
          <c:showSerName val="0"/>
          <c:showPercent val="0"/>
          <c:showBubbleSize val="0"/>
        </c:dLbls>
        <c:smooth val="0"/>
        <c:axId val="399756800"/>
        <c:axId val="399744688"/>
      </c:lineChart>
      <c:catAx>
        <c:axId val="399756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44688"/>
        <c:crosses val="autoZero"/>
        <c:auto val="1"/>
        <c:lblAlgn val="ctr"/>
        <c:lblOffset val="100"/>
        <c:noMultiLvlLbl val="0"/>
      </c:catAx>
      <c:valAx>
        <c:axId val="399744688"/>
        <c:scaling>
          <c:orientation val="minMax"/>
        </c:scaling>
        <c:delete val="0"/>
        <c:axPos val="l"/>
        <c:majorGridlines>
          <c:spPr>
            <a:ln w="9525" cap="flat" cmpd="sng" algn="ctr">
              <a:solidFill>
                <a:schemeClr val="accent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b="1">
                <a:solidFill>
                  <a:schemeClr val="tx1"/>
                </a:solidFill>
              </a:rPr>
              <a:t>SALES BY COUNTRY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37879"/>
          </a:solidFill>
          <a:ln>
            <a:noFill/>
          </a:ln>
          <a:effectLst/>
        </c:spPr>
      </c:pivotFmt>
      <c:pivotFmt>
        <c:idx val="2"/>
        <c:spPr>
          <a:solidFill>
            <a:srgbClr val="E37879"/>
          </a:solidFill>
          <a:ln>
            <a:noFill/>
          </a:ln>
          <a:effectLst/>
        </c:spPr>
        <c:dLbl>
          <c:idx val="0"/>
          <c:layout>
            <c:manualLayout>
              <c:x val="2.5909821553370918E-2"/>
              <c:y val="0"/>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37879"/>
          </a:solidFill>
          <a:ln>
            <a:noFill/>
          </a:ln>
          <a:effectLst/>
        </c:spPr>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37879"/>
          </a:solidFill>
          <a:ln>
            <a:noFill/>
          </a:ln>
          <a:effectLst/>
        </c:spPr>
      </c:pivotFmt>
      <c:pivotFmt>
        <c:idx val="6"/>
        <c:spPr>
          <a:solidFill>
            <a:srgbClr val="E37879"/>
          </a:solidFill>
          <a:ln>
            <a:noFill/>
          </a:ln>
          <a:effectLst/>
        </c:spPr>
      </c:pivotFmt>
      <c:pivotFmt>
        <c:idx val="7"/>
        <c:spPr>
          <a:solidFill>
            <a:srgbClr val="E37879"/>
          </a:solidFill>
          <a:ln>
            <a:noFill/>
          </a:ln>
          <a:effectLst/>
        </c:spPr>
      </c:pivotFmt>
      <c:pivotFmt>
        <c:idx val="8"/>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37879"/>
          </a:solidFill>
          <a:ln>
            <a:noFill/>
          </a:ln>
          <a:effectLst/>
        </c:spPr>
      </c:pivotFmt>
      <c:pivotFmt>
        <c:idx val="10"/>
        <c:spPr>
          <a:solidFill>
            <a:srgbClr val="E37879"/>
          </a:solidFill>
          <a:ln>
            <a:noFill/>
          </a:ln>
          <a:effectLst/>
        </c:spPr>
      </c:pivotFmt>
      <c:pivotFmt>
        <c:idx val="11"/>
        <c:spPr>
          <a:solidFill>
            <a:srgbClr val="E37879"/>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pattFill prst="ltUpDiag">
              <a:fgClr>
                <a:schemeClr val="accent1"/>
              </a:fgClr>
              <a:bgClr>
                <a:schemeClr val="lt1"/>
              </a:bgClr>
            </a:pattFill>
            <a:ln>
              <a:noFill/>
            </a:ln>
            <a:effectLst/>
          </c:spPr>
          <c:invertIfNegative val="0"/>
          <c:dPt>
            <c:idx val="0"/>
            <c:invertIfNegative val="0"/>
            <c:bubble3D val="0"/>
            <c:spPr>
              <a:solidFill>
                <a:srgbClr val="E37879"/>
              </a:solidFill>
              <a:ln>
                <a:noFill/>
              </a:ln>
              <a:effectLst/>
            </c:spPr>
            <c:extLst>
              <c:ext xmlns:c16="http://schemas.microsoft.com/office/drawing/2014/chart" uri="{C3380CC4-5D6E-409C-BE32-E72D297353CC}">
                <c16:uniqueId val="{00000001-B0EE-1D4C-99CF-3064D5D096FD}"/>
              </c:ext>
            </c:extLst>
          </c:dPt>
          <c:dPt>
            <c:idx val="1"/>
            <c:invertIfNegative val="0"/>
            <c:bubble3D val="0"/>
            <c:spPr>
              <a:solidFill>
                <a:srgbClr val="E37879"/>
              </a:solidFill>
              <a:ln>
                <a:noFill/>
              </a:ln>
              <a:effectLst/>
            </c:spPr>
            <c:extLst>
              <c:ext xmlns:c16="http://schemas.microsoft.com/office/drawing/2014/chart" uri="{C3380CC4-5D6E-409C-BE32-E72D297353CC}">
                <c16:uniqueId val="{00000003-B0EE-1D4C-99CF-3064D5D096FD}"/>
              </c:ext>
            </c:extLst>
          </c:dPt>
          <c:dPt>
            <c:idx val="2"/>
            <c:invertIfNegative val="0"/>
            <c:bubble3D val="0"/>
            <c:spPr>
              <a:solidFill>
                <a:srgbClr val="E37879"/>
              </a:solidFill>
              <a:ln>
                <a:noFill/>
              </a:ln>
              <a:effectLst/>
            </c:spPr>
            <c:extLst>
              <c:ext xmlns:c16="http://schemas.microsoft.com/office/drawing/2014/chart" uri="{C3380CC4-5D6E-409C-BE32-E72D297353CC}">
                <c16:uniqueId val="{00000005-B0EE-1D4C-99CF-3064D5D096FD}"/>
              </c:ext>
            </c:extLst>
          </c:dPt>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0EE-1D4C-99CF-3064D5D096FD}"/>
            </c:ext>
          </c:extLst>
        </c:ser>
        <c:dLbls>
          <c:dLblPos val="inEnd"/>
          <c:showLegendKey val="0"/>
          <c:showVal val="1"/>
          <c:showCatName val="0"/>
          <c:showSerName val="0"/>
          <c:showPercent val="0"/>
          <c:showBubbleSize val="0"/>
        </c:dLbls>
        <c:gapWidth val="269"/>
        <c:overlap val="-20"/>
        <c:axId val="400719872"/>
        <c:axId val="400721584"/>
      </c:barChart>
      <c:catAx>
        <c:axId val="40071987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000" b="1" i="0" u="none" strike="noStrike" kern="1200" cap="all" spc="150" normalizeH="0" baseline="0">
                <a:solidFill>
                  <a:schemeClr val="tx1"/>
                </a:solidFill>
                <a:latin typeface="+mn-lt"/>
                <a:ea typeface="+mn-ea"/>
                <a:cs typeface="+mn-cs"/>
              </a:defRPr>
            </a:pPr>
            <a:endParaRPr lang="en-US"/>
          </a:p>
        </c:txPr>
        <c:crossAx val="400721584"/>
        <c:crosses val="autoZero"/>
        <c:auto val="1"/>
        <c:lblAlgn val="ctr"/>
        <c:lblOffset val="100"/>
        <c:noMultiLvlLbl val="0"/>
      </c:catAx>
      <c:valAx>
        <c:axId val="400721584"/>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071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 (2)!TotalSales</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b="1">
                <a:solidFill>
                  <a:schemeClr val="tx1"/>
                </a:solidFill>
              </a:rPr>
              <a:t>top 5 customers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37879"/>
          </a:solidFill>
          <a:ln>
            <a:noFill/>
          </a:ln>
          <a:effectLst/>
        </c:spPr>
      </c:pivotFmt>
      <c:pivotFmt>
        <c:idx val="2"/>
        <c:spPr>
          <a:solidFill>
            <a:srgbClr val="E37879"/>
          </a:solidFill>
          <a:ln>
            <a:noFill/>
          </a:ln>
          <a:effectLst/>
        </c:spPr>
        <c:dLbl>
          <c:idx val="0"/>
          <c:layout>
            <c:manualLayout>
              <c:x val="2.5909821553370918E-2"/>
              <c:y val="0"/>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37879"/>
          </a:solidFill>
          <a:ln>
            <a:noFill/>
          </a:ln>
          <a:effectLst/>
        </c:spPr>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37879"/>
          </a:solidFill>
          <a:ln>
            <a:noFill/>
          </a:ln>
          <a:effectLst/>
        </c:spPr>
      </c:pivotFmt>
      <c:pivotFmt>
        <c:idx val="6"/>
        <c:spPr>
          <a:solidFill>
            <a:srgbClr val="E37879"/>
          </a:solidFill>
          <a:ln>
            <a:noFill/>
          </a:ln>
          <a:effectLst/>
        </c:spPr>
      </c:pivotFmt>
      <c:pivotFmt>
        <c:idx val="7"/>
        <c:spPr>
          <a:solidFill>
            <a:srgbClr val="E37879"/>
          </a:solidFill>
          <a:ln>
            <a:noFill/>
          </a:ln>
          <a:effectLst/>
        </c:spPr>
      </c:pivotFmt>
      <c:pivotFmt>
        <c:idx val="8"/>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37879"/>
          </a:solidFill>
          <a:ln>
            <a:noFill/>
          </a:ln>
          <a:effectLst/>
        </c:spPr>
      </c:pivotFmt>
      <c:pivotFmt>
        <c:idx val="10"/>
        <c:spPr>
          <a:solidFill>
            <a:srgbClr val="E37879"/>
          </a:solidFill>
          <a:ln>
            <a:noFill/>
          </a:ln>
          <a:effectLst/>
        </c:spPr>
      </c:pivotFmt>
      <c:pivotFmt>
        <c:idx val="11"/>
        <c:spPr>
          <a:solidFill>
            <a:srgbClr val="E37879"/>
          </a:solidFill>
          <a:ln>
            <a:noFill/>
          </a:ln>
          <a:effectLst/>
        </c:spPr>
      </c:pivotFmt>
      <c:pivotFmt>
        <c:idx val="12"/>
        <c:spPr>
          <a:solidFill>
            <a:srgbClr val="E37879"/>
          </a:solidFill>
          <a:ln>
            <a:noFill/>
          </a:ln>
          <a:effectLst/>
        </c:spPr>
      </c:pivotFmt>
      <c:pivotFmt>
        <c:idx val="13"/>
        <c:spPr>
          <a:solidFill>
            <a:srgbClr val="E37879"/>
          </a:solidFill>
          <a:ln>
            <a:noFill/>
          </a:ln>
          <a:effectLst/>
        </c:spPr>
      </c:pivotFmt>
      <c:pivotFmt>
        <c:idx val="14"/>
        <c:spPr>
          <a:solidFill>
            <a:srgbClr val="E37879"/>
          </a:solidFill>
          <a:ln>
            <a:noFill/>
          </a:ln>
          <a:effectLst/>
        </c:spPr>
      </c:pivotFmt>
      <c:pivotFmt>
        <c:idx val="15"/>
        <c:spPr>
          <a:solidFill>
            <a:srgbClr val="E37879"/>
          </a:solidFill>
          <a:ln>
            <a:noFill/>
          </a:ln>
          <a:effectLst/>
        </c:spPr>
      </c:pivotFmt>
      <c:pivotFmt>
        <c:idx val="16"/>
        <c:spPr>
          <a:solidFill>
            <a:srgbClr val="E37879"/>
          </a:solidFill>
          <a:ln>
            <a:noFill/>
          </a:ln>
          <a:effectLst/>
        </c:spPr>
      </c:pivotFmt>
      <c:pivotFmt>
        <c:idx val="17"/>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E37879"/>
          </a:solidFill>
          <a:ln>
            <a:noFill/>
          </a:ln>
          <a:effectLst/>
        </c:spPr>
      </c:pivotFmt>
      <c:pivotFmt>
        <c:idx val="19"/>
        <c:spPr>
          <a:solidFill>
            <a:srgbClr val="E37879"/>
          </a:solidFill>
          <a:ln>
            <a:noFill/>
          </a:ln>
          <a:effectLst/>
        </c:spPr>
      </c:pivotFmt>
      <c:pivotFmt>
        <c:idx val="20"/>
        <c:spPr>
          <a:solidFill>
            <a:srgbClr val="E37879"/>
          </a:solidFill>
          <a:ln>
            <a:noFill/>
          </a:ln>
          <a:effectLst/>
        </c:spPr>
      </c:pivotFmt>
      <c:pivotFmt>
        <c:idx val="21"/>
        <c:spPr>
          <a:solidFill>
            <a:srgbClr val="E37879"/>
          </a:solidFill>
          <a:ln>
            <a:noFill/>
          </a:ln>
          <a:effectLst/>
        </c:spPr>
      </c:pivotFmt>
      <c:pivotFmt>
        <c:idx val="22"/>
        <c:spPr>
          <a:solidFill>
            <a:srgbClr val="E37879"/>
          </a:solidFill>
          <a:ln>
            <a:noFill/>
          </a:ln>
          <a:effectLst/>
        </c:spPr>
      </c:pivotFmt>
      <c:pivotFmt>
        <c:idx val="2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E37879"/>
          </a:solidFill>
          <a:ln>
            <a:noFill/>
          </a:ln>
          <a:effectLst/>
        </c:spPr>
      </c:pivotFmt>
      <c:pivotFmt>
        <c:idx val="25"/>
        <c:spPr>
          <a:solidFill>
            <a:srgbClr val="E37879"/>
          </a:solidFill>
          <a:ln>
            <a:noFill/>
          </a:ln>
          <a:effectLst/>
        </c:spPr>
      </c:pivotFmt>
      <c:pivotFmt>
        <c:idx val="26"/>
        <c:spPr>
          <a:solidFill>
            <a:srgbClr val="E37879"/>
          </a:solidFill>
          <a:ln>
            <a:noFill/>
          </a:ln>
          <a:effectLst/>
        </c:spPr>
      </c:pivotFmt>
      <c:pivotFmt>
        <c:idx val="27"/>
        <c:spPr>
          <a:solidFill>
            <a:srgbClr val="E37879"/>
          </a:solidFill>
          <a:ln>
            <a:noFill/>
          </a:ln>
          <a:effectLst/>
        </c:spPr>
      </c:pivotFmt>
      <c:pivotFmt>
        <c:idx val="28"/>
        <c:spPr>
          <a:solidFill>
            <a:srgbClr val="E37879"/>
          </a:solidFill>
          <a:ln>
            <a:noFill/>
          </a:ln>
          <a:effectLst/>
        </c:spPr>
      </c:pivotFmt>
    </c:pivotFmts>
    <c:plotArea>
      <c:layout/>
      <c:barChart>
        <c:barDir val="bar"/>
        <c:grouping val="clustered"/>
        <c:varyColors val="0"/>
        <c:ser>
          <c:idx val="0"/>
          <c:order val="0"/>
          <c:tx>
            <c:strRef>
              <c:f>'CountryBarChart (2)'!$B$3</c:f>
              <c:strCache>
                <c:ptCount val="1"/>
                <c:pt idx="0">
                  <c:v>Total</c:v>
                </c:pt>
              </c:strCache>
            </c:strRef>
          </c:tx>
          <c:spPr>
            <a:pattFill prst="ltUpDiag">
              <a:fgClr>
                <a:schemeClr val="accent1"/>
              </a:fgClr>
              <a:bgClr>
                <a:schemeClr val="lt1"/>
              </a:bgClr>
            </a:pattFill>
            <a:ln>
              <a:noFill/>
            </a:ln>
            <a:effectLst/>
          </c:spPr>
          <c:invertIfNegative val="0"/>
          <c:dPt>
            <c:idx val="0"/>
            <c:invertIfNegative val="0"/>
            <c:bubble3D val="0"/>
            <c:spPr>
              <a:solidFill>
                <a:srgbClr val="E37879"/>
              </a:solidFill>
              <a:ln>
                <a:noFill/>
              </a:ln>
              <a:effectLst/>
            </c:spPr>
            <c:extLst>
              <c:ext xmlns:c16="http://schemas.microsoft.com/office/drawing/2014/chart" uri="{C3380CC4-5D6E-409C-BE32-E72D297353CC}">
                <c16:uniqueId val="{00000001-F5D2-3041-BFE6-BE61A3B6B75C}"/>
              </c:ext>
            </c:extLst>
          </c:dPt>
          <c:dPt>
            <c:idx val="1"/>
            <c:invertIfNegative val="0"/>
            <c:bubble3D val="0"/>
            <c:spPr>
              <a:solidFill>
                <a:srgbClr val="E37879"/>
              </a:solidFill>
              <a:ln>
                <a:noFill/>
              </a:ln>
              <a:effectLst/>
            </c:spPr>
            <c:extLst>
              <c:ext xmlns:c16="http://schemas.microsoft.com/office/drawing/2014/chart" uri="{C3380CC4-5D6E-409C-BE32-E72D297353CC}">
                <c16:uniqueId val="{00000003-F5D2-3041-BFE6-BE61A3B6B75C}"/>
              </c:ext>
            </c:extLst>
          </c:dPt>
          <c:dPt>
            <c:idx val="2"/>
            <c:invertIfNegative val="0"/>
            <c:bubble3D val="0"/>
            <c:spPr>
              <a:solidFill>
                <a:srgbClr val="E37879"/>
              </a:solidFill>
              <a:ln>
                <a:noFill/>
              </a:ln>
              <a:effectLst/>
            </c:spPr>
            <c:extLst>
              <c:ext xmlns:c16="http://schemas.microsoft.com/office/drawing/2014/chart" uri="{C3380CC4-5D6E-409C-BE32-E72D297353CC}">
                <c16:uniqueId val="{00000005-F5D2-3041-BFE6-BE61A3B6B75C}"/>
              </c:ext>
            </c:extLst>
          </c:dPt>
          <c:dPt>
            <c:idx val="3"/>
            <c:invertIfNegative val="0"/>
            <c:bubble3D val="0"/>
            <c:spPr>
              <a:solidFill>
                <a:srgbClr val="E37879"/>
              </a:solidFill>
              <a:ln>
                <a:noFill/>
              </a:ln>
              <a:effectLst/>
            </c:spPr>
            <c:extLst>
              <c:ext xmlns:c16="http://schemas.microsoft.com/office/drawing/2014/chart" uri="{C3380CC4-5D6E-409C-BE32-E72D297353CC}">
                <c16:uniqueId val="{00000007-F5D2-3041-BFE6-BE61A3B6B75C}"/>
              </c:ext>
            </c:extLst>
          </c:dPt>
          <c:dPt>
            <c:idx val="4"/>
            <c:invertIfNegative val="0"/>
            <c:bubble3D val="0"/>
            <c:spPr>
              <a:solidFill>
                <a:srgbClr val="E37879"/>
              </a:solidFill>
              <a:ln>
                <a:noFill/>
              </a:ln>
              <a:effectLst/>
            </c:spPr>
            <c:extLst>
              <c:ext xmlns:c16="http://schemas.microsoft.com/office/drawing/2014/chart" uri="{C3380CC4-5D6E-409C-BE32-E72D297353CC}">
                <c16:uniqueId val="{00000009-F5D2-3041-BFE6-BE61A3B6B75C}"/>
              </c:ext>
            </c:extLst>
          </c:dPt>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'CountryBarChart (2)'!$A$4:$A$8</c:f>
              <c:strCache>
                <c:ptCount val="5"/>
                <c:pt idx="0">
                  <c:v>Don Flintiff</c:v>
                </c:pt>
                <c:pt idx="1">
                  <c:v>Nealson Cuttler</c:v>
                </c:pt>
                <c:pt idx="2">
                  <c:v>Terri Farra</c:v>
                </c:pt>
                <c:pt idx="3">
                  <c:v>Brenn Dundredge</c:v>
                </c:pt>
                <c:pt idx="4">
                  <c:v>Allis Wilmore</c:v>
                </c:pt>
              </c:strCache>
            </c:strRef>
          </c:cat>
          <c:val>
            <c:numRef>
              <c:f>'CountryBarChart (2)'!$B$4:$B$8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F5D2-3041-BFE6-BE61A3B6B75C}"/>
            </c:ext>
          </c:extLst>
        </c:ser>
        <c:dLbls>
          <c:dLblPos val="inEnd"/>
          <c:showLegendKey val="0"/>
          <c:showVal val="1"/>
          <c:showCatName val="0"/>
          <c:showSerName val="0"/>
          <c:showPercent val="0"/>
          <c:showBubbleSize val="0"/>
        </c:dLbls>
        <c:gapWidth val="269"/>
        <c:overlap val="-20"/>
        <c:axId val="400719872"/>
        <c:axId val="400721584"/>
      </c:barChart>
      <c:catAx>
        <c:axId val="40071987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000" b="1" i="0" u="none" strike="noStrike" kern="1200" cap="all" spc="150" normalizeH="0" baseline="0">
                <a:solidFill>
                  <a:schemeClr val="tx1"/>
                </a:solidFill>
                <a:latin typeface="+mn-lt"/>
                <a:ea typeface="+mn-ea"/>
                <a:cs typeface="+mn-cs"/>
              </a:defRPr>
            </a:pPr>
            <a:endParaRPr lang="en-US"/>
          </a:p>
        </c:txPr>
        <c:crossAx val="400721584"/>
        <c:crosses val="autoZero"/>
        <c:auto val="1"/>
        <c:lblAlgn val="ctr"/>
        <c:lblOffset val="100"/>
        <c:noMultiLvlLbl val="0"/>
      </c:catAx>
      <c:valAx>
        <c:axId val="400721584"/>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071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813371</xdr:colOff>
      <xdr:row>5</xdr:row>
      <xdr:rowOff>0</xdr:rowOff>
    </xdr:to>
    <xdr:sp macro="" textlink="">
      <xdr:nvSpPr>
        <xdr:cNvPr id="3" name="Rectangle 2">
          <a:extLst>
            <a:ext uri="{FF2B5EF4-FFF2-40B4-BE49-F238E27FC236}">
              <a16:creationId xmlns:a16="http://schemas.microsoft.com/office/drawing/2014/main" id="{BDDDB3B2-1A2A-E33A-653E-90603B9BFF50}"/>
            </a:ext>
          </a:extLst>
        </xdr:cNvPr>
        <xdr:cNvSpPr/>
      </xdr:nvSpPr>
      <xdr:spPr>
        <a:xfrm>
          <a:off x="142697" y="57079"/>
          <a:ext cx="14883258" cy="742022"/>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rgbClr val="E37879"/>
              </a:solidFill>
            </a:rPr>
            <a:t>COFFEE</a:t>
          </a:r>
          <a:r>
            <a:rPr lang="en-US" sz="4000" baseline="0"/>
            <a:t> </a:t>
          </a:r>
          <a:r>
            <a:rPr lang="en-US" sz="4000" baseline="0">
              <a:solidFill>
                <a:srgbClr val="E37879"/>
              </a:solidFill>
            </a:rPr>
            <a:t>SALES</a:t>
          </a:r>
          <a:r>
            <a:rPr lang="en-US" sz="4000" baseline="0"/>
            <a:t> </a:t>
          </a:r>
          <a:r>
            <a:rPr lang="en-US" sz="4000" baseline="0">
              <a:solidFill>
                <a:srgbClr val="E37879"/>
              </a:solidFill>
            </a:rPr>
            <a:t>DASHBOARD</a:t>
          </a:r>
        </a:p>
      </xdr:txBody>
    </xdr:sp>
    <xdr:clientData/>
  </xdr:twoCellAnchor>
  <xdr:twoCellAnchor>
    <xdr:from>
      <xdr:col>1</xdr:col>
      <xdr:colOff>25400</xdr:colOff>
      <xdr:row>16</xdr:row>
      <xdr:rowOff>9007</xdr:rowOff>
    </xdr:from>
    <xdr:to>
      <xdr:col>12</xdr:col>
      <xdr:colOff>185505</xdr:colOff>
      <xdr:row>49</xdr:row>
      <xdr:rowOff>28540</xdr:rowOff>
    </xdr:to>
    <xdr:graphicFrame macro="">
      <xdr:nvGraphicFramePr>
        <xdr:cNvPr id="4" name="Chart 3">
          <a:extLst>
            <a:ext uri="{FF2B5EF4-FFF2-40B4-BE49-F238E27FC236}">
              <a16:creationId xmlns:a16="http://schemas.microsoft.com/office/drawing/2014/main" id="{D5E81D40-C69B-1E4B-97C8-617F6365F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16074</xdr:colOff>
      <xdr:row>5</xdr:row>
      <xdr:rowOff>14270</xdr:rowOff>
    </xdr:from>
    <xdr:to>
      <xdr:col>12</xdr:col>
      <xdr:colOff>128427</xdr:colOff>
      <xdr:row>15</xdr:row>
      <xdr:rowOff>128608</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0356B9EE-0EF8-FA4C-916D-98F15E8E70C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7185" y="875048"/>
              <a:ext cx="9270464" cy="20898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169002</xdr:colOff>
      <xdr:row>8</xdr:row>
      <xdr:rowOff>85619</xdr:rowOff>
    </xdr:from>
    <xdr:to>
      <xdr:col>15</xdr:col>
      <xdr:colOff>479026</xdr:colOff>
      <xdr:row>15</xdr:row>
      <xdr:rowOff>156968</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24455E13-D397-7440-BEB8-56E8418D765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468224" y="1539063"/>
              <a:ext cx="2807691" cy="1454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204529</xdr:colOff>
      <xdr:row>5</xdr:row>
      <xdr:rowOff>19688</xdr:rowOff>
    </xdr:from>
    <xdr:to>
      <xdr:col>19</xdr:col>
      <xdr:colOff>14269</xdr:colOff>
      <xdr:row>8</xdr:row>
      <xdr:rowOff>71349</xdr:rowOff>
    </xdr:to>
    <mc:AlternateContent xmlns:mc="http://schemas.openxmlformats.org/markup-compatibility/2006" xmlns:a14="http://schemas.microsoft.com/office/drawing/2010/main">
      <mc:Choice Requires="a14">
        <xdr:graphicFrame macro="">
          <xdr:nvGraphicFramePr>
            <xdr:cNvPr id="7" name="Roast Type Name ">
              <a:extLst>
                <a:ext uri="{FF2B5EF4-FFF2-40B4-BE49-F238E27FC236}">
                  <a16:creationId xmlns:a16="http://schemas.microsoft.com/office/drawing/2014/main" id="{A8AC2264-ECB6-4548-A86A-C0B53113F084}"/>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9503751" y="880466"/>
              <a:ext cx="5637629" cy="644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495102</xdr:colOff>
      <xdr:row>8</xdr:row>
      <xdr:rowOff>57080</xdr:rowOff>
    </xdr:from>
    <xdr:to>
      <xdr:col>19</xdr:col>
      <xdr:colOff>12700</xdr:colOff>
      <xdr:row>15</xdr:row>
      <xdr:rowOff>114159</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8CE467A2-3D6B-EA49-940F-C4A594EB513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291991" y="1510524"/>
              <a:ext cx="2764019" cy="1439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198157</xdr:colOff>
      <xdr:row>15</xdr:row>
      <xdr:rowOff>128428</xdr:rowOff>
    </xdr:from>
    <xdr:to>
      <xdr:col>19</xdr:col>
      <xdr:colOff>13383</xdr:colOff>
      <xdr:row>31</xdr:row>
      <xdr:rowOff>156967</xdr:rowOff>
    </xdr:to>
    <xdr:graphicFrame macro="">
      <xdr:nvGraphicFramePr>
        <xdr:cNvPr id="9" name="Chart 8">
          <a:extLst>
            <a:ext uri="{FF2B5EF4-FFF2-40B4-BE49-F238E27FC236}">
              <a16:creationId xmlns:a16="http://schemas.microsoft.com/office/drawing/2014/main" id="{5E7017CB-1001-0D43-9688-B18570515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199774</xdr:colOff>
      <xdr:row>31</xdr:row>
      <xdr:rowOff>156965</xdr:rowOff>
    </xdr:from>
    <xdr:to>
      <xdr:col>19</xdr:col>
      <xdr:colOff>42809</xdr:colOff>
      <xdr:row>48</xdr:row>
      <xdr:rowOff>171236</xdr:rowOff>
    </xdr:to>
    <xdr:graphicFrame macro="">
      <xdr:nvGraphicFramePr>
        <xdr:cNvPr id="10" name="Chart 9">
          <a:extLst>
            <a:ext uri="{FF2B5EF4-FFF2-40B4-BE49-F238E27FC236}">
              <a16:creationId xmlns:a16="http://schemas.microsoft.com/office/drawing/2014/main" id="{489B540A-58ED-5D45-B84B-E048BDEC0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 Nyein" refreshedDate="45967.696159953703" createdVersion="8" refreshedVersion="8" minRefreshableVersion="3" recordCount="1000" xr:uid="{F8A05050-8B23-1F4C-B240-752CFB091A9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771938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0C7E00-9E4C-E648-95B0-FD408C2DD658}" name="TotalSales"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8">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DBCA88-2E5C-FE44-BAC9-237405B5C0E3}" name="TotalSales"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3"/>
  </dataFields>
  <formats count="2">
    <format dxfId="14">
      <pivotArea outline="0" fieldPosition="0">
        <references count="1">
          <reference field="7" count="1" selected="0">
            <x v="0"/>
          </reference>
        </references>
      </pivotArea>
    </format>
    <format dxfId="13">
      <pivotArea outline="0" fieldPosition="0">
        <references count="1">
          <reference field="4294967294" count="1">
            <x v="0"/>
          </reference>
        </references>
      </pivotArea>
    </format>
  </formats>
  <chartFormats count="8">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C6F0F0-FA24-A24F-9005-679CC44B3E8D}" name="TotalSales"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3"/>
  </dataFields>
  <formats count="1">
    <format dxfId="12">
      <pivotArea outline="0" fieldPosition="0">
        <references count="1">
          <reference field="4294967294" count="1">
            <x v="0"/>
          </reference>
        </references>
      </pivotArea>
    </format>
  </formats>
  <chartFormats count="20">
    <chartFormat chart="10" format="1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5" count="1" selected="0">
            <x v="28"/>
          </reference>
        </references>
      </pivotArea>
    </chartFormat>
    <chartFormat chart="17" format="13">
      <pivotArea type="data" outline="0" fieldPosition="0">
        <references count="2">
          <reference field="4294967294" count="1" selected="0">
            <x v="0"/>
          </reference>
          <reference field="5" count="1" selected="0">
            <x v="125"/>
          </reference>
        </references>
      </pivotArea>
    </chartFormat>
    <chartFormat chart="17" format="14">
      <pivotArea type="data" outline="0" fieldPosition="0">
        <references count="2">
          <reference field="4294967294" count="1" selected="0">
            <x v="0"/>
          </reference>
          <reference field="5" count="1" selected="0">
            <x v="831"/>
          </reference>
        </references>
      </pivotArea>
    </chartFormat>
    <chartFormat chart="17" format="15">
      <pivotArea type="data" outline="0" fieldPosition="0">
        <references count="2">
          <reference field="4294967294" count="1" selected="0">
            <x v="0"/>
          </reference>
          <reference field="5" count="1" selected="0">
            <x v="646"/>
          </reference>
        </references>
      </pivotArea>
    </chartFormat>
    <chartFormat chart="17" format="16">
      <pivotArea type="data" outline="0" fieldPosition="0">
        <references count="2">
          <reference field="4294967294" count="1" selected="0">
            <x v="0"/>
          </reference>
          <reference field="5" count="1" selected="0">
            <x v="255"/>
          </reference>
        </references>
      </pivotArea>
    </chartFormat>
    <chartFormat chart="19" format="17" series="1">
      <pivotArea type="data" outline="0" fieldPosition="0">
        <references count="1">
          <reference field="4294967294" count="1" selected="0">
            <x v="0"/>
          </reference>
        </references>
      </pivotArea>
    </chartFormat>
    <chartFormat chart="19" format="18">
      <pivotArea type="data" outline="0" fieldPosition="0">
        <references count="2">
          <reference field="4294967294" count="1" selected="0">
            <x v="0"/>
          </reference>
          <reference field="5" count="1" selected="0">
            <x v="255"/>
          </reference>
        </references>
      </pivotArea>
    </chartFormat>
    <chartFormat chart="19" format="19">
      <pivotArea type="data" outline="0" fieldPosition="0">
        <references count="2">
          <reference field="4294967294" count="1" selected="0">
            <x v="0"/>
          </reference>
          <reference field="5" count="1" selected="0">
            <x v="646"/>
          </reference>
        </references>
      </pivotArea>
    </chartFormat>
    <chartFormat chart="19" format="20">
      <pivotArea type="data" outline="0" fieldPosition="0">
        <references count="2">
          <reference field="4294967294" count="1" selected="0">
            <x v="0"/>
          </reference>
          <reference field="5" count="1" selected="0">
            <x v="831"/>
          </reference>
        </references>
      </pivotArea>
    </chartFormat>
    <chartFormat chart="19" format="21">
      <pivotArea type="data" outline="0" fieldPosition="0">
        <references count="2">
          <reference field="4294967294" count="1" selected="0">
            <x v="0"/>
          </reference>
          <reference field="5" count="1" selected="0">
            <x v="125"/>
          </reference>
        </references>
      </pivotArea>
    </chartFormat>
    <chartFormat chart="19" format="22">
      <pivotArea type="data" outline="0" fieldPosition="0">
        <references count="2">
          <reference field="4294967294" count="1" selected="0">
            <x v="0"/>
          </reference>
          <reference field="5" count="1" selected="0">
            <x v="28"/>
          </reference>
        </references>
      </pivotArea>
    </chartFormat>
    <chartFormat chart="20" format="23" series="1">
      <pivotArea type="data" outline="0" fieldPosition="0">
        <references count="1">
          <reference field="4294967294" count="1" selected="0">
            <x v="0"/>
          </reference>
        </references>
      </pivotArea>
    </chartFormat>
    <chartFormat chart="20" format="24">
      <pivotArea type="data" outline="0" fieldPosition="0">
        <references count="2">
          <reference field="4294967294" count="1" selected="0">
            <x v="0"/>
          </reference>
          <reference field="5" count="1" selected="0">
            <x v="255"/>
          </reference>
        </references>
      </pivotArea>
    </chartFormat>
    <chartFormat chart="20" format="25">
      <pivotArea type="data" outline="0" fieldPosition="0">
        <references count="2">
          <reference field="4294967294" count="1" selected="0">
            <x v="0"/>
          </reference>
          <reference field="5" count="1" selected="0">
            <x v="646"/>
          </reference>
        </references>
      </pivotArea>
    </chartFormat>
    <chartFormat chart="20" format="26">
      <pivotArea type="data" outline="0" fieldPosition="0">
        <references count="2">
          <reference field="4294967294" count="1" selected="0">
            <x v="0"/>
          </reference>
          <reference field="5" count="1" selected="0">
            <x v="831"/>
          </reference>
        </references>
      </pivotArea>
    </chartFormat>
    <chartFormat chart="20" format="27">
      <pivotArea type="data" outline="0" fieldPosition="0">
        <references count="2">
          <reference field="4294967294" count="1" selected="0">
            <x v="0"/>
          </reference>
          <reference field="5" count="1" selected="0">
            <x v="125"/>
          </reference>
        </references>
      </pivotArea>
    </chartFormat>
    <chartFormat chart="20" format="28">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3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5B2572F-B9F7-3D40-91D3-4DFAA9A7A795}" sourceName="Size">
  <pivotTables>
    <pivotTable tabId="18" name="TotalSales"/>
    <pivotTable tabId="20" name="TotalSales"/>
    <pivotTable tabId="22" name="TotalSales"/>
  </pivotTables>
  <data>
    <tabular pivotCacheId="177193822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80AEAE4-F73C-A942-802C-E4B270CF797C}" sourceName="Roast Type Name ">
  <pivotTables>
    <pivotTable tabId="18" name="TotalSales"/>
    <pivotTable tabId="20" name="TotalSales"/>
    <pivotTable tabId="22" name="TotalSales"/>
  </pivotTables>
  <data>
    <tabular pivotCacheId="177193822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7228454-2025-064E-BCDD-32E016C722D5}" sourceName="Loyalty Card">
  <pivotTables>
    <pivotTable tabId="18" name="TotalSales"/>
    <pivotTable tabId="20" name="TotalSales"/>
    <pivotTable tabId="22" name="TotalSales"/>
  </pivotTables>
  <data>
    <tabular pivotCacheId="17719382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249E4B2-294C-904A-A560-0C88DB82EA58}" cache="Slicer_Size" caption="Size" style="SlicerStyleLight2" rowHeight="230716"/>
  <slicer name="Roast Type Name " xr10:uid="{7250D76E-A120-3F4A-B5BD-4C8710676F6A}" cache="Slicer_Roast_Type_Name" caption="Roast Type Name " columnCount="3" style="SlicerStyleLight2" rowHeight="230716"/>
  <slicer name="Loyalty Card" xr10:uid="{63BDFD27-5C0A-E743-BB95-07CAB951E30C}" cache="Slicer_Loyalty_Card" caption="Loyalty Card" style="SlicerStyleLigh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69E88F-8E1F-E741-BBBF-37EA8C37AB0D}" name="Orders" displayName="Orders" ref="A1:P1001" totalsRowShown="0" headerRowDxfId="11">
  <autoFilter ref="A1:P1001" xr:uid="{1D69E88F-8E1F-E741-BBBF-37EA8C37AB0D}"/>
  <tableColumns count="16">
    <tableColumn id="1" xr3:uid="{868E9142-A61D-FB43-871F-C2B969A2538A}" name="Order ID" dataDxfId="10"/>
    <tableColumn id="2" xr3:uid="{7DCB037F-A4B6-3648-A8A2-4C0C770F8B5D}" name="Order Date" dataDxfId="9"/>
    <tableColumn id="3" xr3:uid="{C48E9B24-1B34-CD41-AE8C-611F259769A3}" name="Customer ID" dataDxfId="8"/>
    <tableColumn id="4" xr3:uid="{E20B3A2C-4ED2-CE42-95D9-07E41850D1A6}" name="Product ID"/>
    <tableColumn id="5" xr3:uid="{AB591699-6EE9-144C-A334-AA9120136784}" name="Quantity" dataDxfId="7"/>
    <tableColumn id="6" xr3:uid="{25DB099B-7404-954B-AFF7-AEA5C6DD5CD4}" name="Customer Name" dataDxfId="6">
      <calculatedColumnFormula>_xlfn.XLOOKUP(C2,customers!$A$1:$A$1001,customers!$B$1:$B$1001,0)</calculatedColumnFormula>
    </tableColumn>
    <tableColumn id="7" xr3:uid="{FA96EA8E-E228-524B-B1CD-C8D488094837}" name="Email" dataDxfId="5">
      <calculatedColumnFormula>IF(_xlfn.XLOOKUP(C2,customers!$A$1:$A$1001,customers!$C$1:$C$1001,,0)=0,"",_xlfn.XLOOKUP(C2,customers!$A$1:$A$1001,customers!$C$1:$C$1001,,0))</calculatedColumnFormula>
    </tableColumn>
    <tableColumn id="8" xr3:uid="{82B32DE9-6C73-2E4D-AE1A-A1150871C5B7}" name="Country" dataDxfId="4">
      <calculatedColumnFormula>_xlfn.XLOOKUP(C2,customers!$A$1:$A$1001,customers!$G$1:$G$1001,"",0)</calculatedColumnFormula>
    </tableColumn>
    <tableColumn id="9" xr3:uid="{18D397B2-FD20-DD4C-8AE2-45D1A24EE060}" name="Coffee Type">
      <calculatedColumnFormula>INDEX(products!$A$1:$G$49,MATCH(orders!$D2,products!$A$1:$A$49,0),MATCH(orders!I$1,products!$A$1:$G$1,0))</calculatedColumnFormula>
    </tableColumn>
    <tableColumn id="10" xr3:uid="{45C7851C-8D4F-204A-BCF8-BCD75D3D45D5}" name="Roast Type">
      <calculatedColumnFormula>INDEX(products!$A$1:$G$49,MATCH(orders!$D2,products!$A$1:$A$49,0),MATCH(orders!J$1,products!$A$1:$G$1,0))</calculatedColumnFormula>
    </tableColumn>
    <tableColumn id="11" xr3:uid="{63E98C0D-BEC8-8946-B023-BEFA6ABF9E6F}" name="Size" dataDxfId="3">
      <calculatedColumnFormula>INDEX(products!$A$1:$G$49,MATCH(orders!$D2,products!$A$1:$A$49,0),MATCH(orders!K$1,products!$A$1:$G$1,0))</calculatedColumnFormula>
    </tableColumn>
    <tableColumn id="12" xr3:uid="{0DD2F35A-E031-894E-80D8-BCAB611AF6E0}" name="Unit Price" dataDxfId="2">
      <calculatedColumnFormula>INDEX(products!$A$1:$G$49,MATCH(orders!$D2,products!$A$1:$A$49,0),MATCH(orders!L$1,products!$A$1:$G$1,0))</calculatedColumnFormula>
    </tableColumn>
    <tableColumn id="13" xr3:uid="{EC3EC52B-62D1-E742-8D75-A1DAE2B9B1D4}" name="Sales" dataDxfId="1">
      <calculatedColumnFormula>L2*E2</calculatedColumnFormula>
    </tableColumn>
    <tableColumn id="14" xr3:uid="{F8320FD5-8DF5-9141-8254-7B596C9E60A6}" name="Coffee Type Name">
      <calculatedColumnFormula>IF(I2 = "Rob", "Robusta",IF(I2 = "Exc","Excelsa",IF(I2= "Ara","Arabica",IF(I2="Lib","Liberica",""))))</calculatedColumnFormula>
    </tableColumn>
    <tableColumn id="15" xr3:uid="{713B78B6-44C2-B44A-9ACA-2251DA674142}" name="Roast Type Name ">
      <calculatedColumnFormula>IF(J2="M","Medium",IF(J2="L","Light",IF(J2="D","Dark","")))</calculatedColumnFormula>
    </tableColumn>
    <tableColumn id="16" xr3:uid="{5B7DC4FD-33B5-8446-BE73-DF06F053D668}" name="Loyalty Card" dataDxfId="0">
      <calculatedColumnFormula>_xlfn.XLOOKUP(Orders[[#This Row],[Customer ID]],customers!$A$2:$A$1001,customers!$I$2:$I$1001,"")</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879346B-4E68-5348-B4D9-A9B0EE0B3D5F}" sourceName="Order Date">
  <pivotTables>
    <pivotTable tabId="18" name="TotalSales"/>
    <pivotTable tabId="20" name="TotalSales"/>
    <pivotTable tabId="22" name="TotalSales"/>
  </pivotTables>
  <state minimalRefreshVersion="6" lastRefreshVersion="6" pivotCacheId="177193822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F576D6A-EBC0-FB46-BF40-FE5005806243}" cache="NativeTimeline_Order_Date" caption="Order Date" level="2" selectionLevel="2" scrollPosition="2020-05-05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B88B-353F-BE45-840F-4522252AD9F8}">
  <sheetPr>
    <tabColor theme="9"/>
  </sheetPr>
  <dimension ref="A1"/>
  <sheetViews>
    <sheetView showGridLines="0" tabSelected="1" zoomScale="88" zoomScaleNormal="123" workbookViewId="0">
      <selection activeCell="AA38" sqref="AA38:AB38"/>
    </sheetView>
  </sheetViews>
  <sheetFormatPr baseColWidth="10" defaultRowHeight="15" x14ac:dyDescent="0.2"/>
  <cols>
    <col min="1" max="1" width="1.83203125" customWidth="1"/>
  </cols>
  <sheetData>
    <row r="1" ht="5" customHeight="1" x14ac:dyDescent="0.2"/>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55079-EA74-1C47-B04D-956D069998AB}">
  <sheetPr>
    <tabColor theme="9"/>
  </sheetPr>
  <dimension ref="A3:F48"/>
  <sheetViews>
    <sheetView topLeftCell="C1" zoomScaleNormal="100" workbookViewId="0">
      <selection activeCell="C17" sqref="C17"/>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6216</v>
      </c>
      <c r="C3" s="6" t="s">
        <v>6196</v>
      </c>
    </row>
    <row r="4" spans="1:6" x14ac:dyDescent="0.2">
      <c r="A4" s="6" t="s">
        <v>6214</v>
      </c>
      <c r="B4" s="6" t="s">
        <v>6215</v>
      </c>
      <c r="C4" t="s">
        <v>6217</v>
      </c>
      <c r="D4" t="s">
        <v>6218</v>
      </c>
      <c r="E4" t="s">
        <v>6219</v>
      </c>
      <c r="F4" t="s">
        <v>6220</v>
      </c>
    </row>
    <row r="5" spans="1:6" x14ac:dyDescent="0.2">
      <c r="A5" t="s">
        <v>6198</v>
      </c>
      <c r="B5" t="s">
        <v>6202</v>
      </c>
      <c r="C5" s="7">
        <v>186.85499999999999</v>
      </c>
      <c r="D5" s="7">
        <v>305.97000000000003</v>
      </c>
      <c r="E5" s="7">
        <v>213.15999999999997</v>
      </c>
      <c r="F5" s="7">
        <v>123</v>
      </c>
    </row>
    <row r="6" spans="1:6" x14ac:dyDescent="0.2">
      <c r="B6" t="s">
        <v>6203</v>
      </c>
      <c r="C6" s="7">
        <v>251.96499999999997</v>
      </c>
      <c r="D6" s="7">
        <v>129.46</v>
      </c>
      <c r="E6" s="7">
        <v>434.03999999999996</v>
      </c>
      <c r="F6" s="7">
        <v>171.93999999999997</v>
      </c>
    </row>
    <row r="7" spans="1:6" x14ac:dyDescent="0.2">
      <c r="B7" t="s">
        <v>6204</v>
      </c>
      <c r="C7" s="7">
        <v>224.94499999999999</v>
      </c>
      <c r="D7" s="7">
        <v>349.12</v>
      </c>
      <c r="E7" s="7">
        <v>321.04000000000002</v>
      </c>
      <c r="F7" s="7">
        <v>126.035</v>
      </c>
    </row>
    <row r="8" spans="1:6" x14ac:dyDescent="0.2">
      <c r="B8" t="s">
        <v>6205</v>
      </c>
      <c r="C8" s="7">
        <v>307.12</v>
      </c>
      <c r="D8" s="7">
        <v>681.07499999999993</v>
      </c>
      <c r="E8" s="7">
        <v>533.70499999999993</v>
      </c>
      <c r="F8" s="7">
        <v>158.85</v>
      </c>
    </row>
    <row r="9" spans="1:6" x14ac:dyDescent="0.2">
      <c r="B9" t="s">
        <v>6206</v>
      </c>
      <c r="C9" s="7">
        <v>53.664999999999992</v>
      </c>
      <c r="D9" s="7">
        <v>83.025000000000006</v>
      </c>
      <c r="E9" s="7">
        <v>193.83499999999998</v>
      </c>
      <c r="F9" s="7">
        <v>68.039999999999992</v>
      </c>
    </row>
    <row r="10" spans="1:6" x14ac:dyDescent="0.2">
      <c r="B10" t="s">
        <v>6207</v>
      </c>
      <c r="C10" s="7">
        <v>163.01999999999998</v>
      </c>
      <c r="D10" s="7">
        <v>678.3599999999999</v>
      </c>
      <c r="E10" s="7">
        <v>171.04500000000002</v>
      </c>
      <c r="F10" s="7">
        <v>372.255</v>
      </c>
    </row>
    <row r="11" spans="1:6" x14ac:dyDescent="0.2">
      <c r="B11" t="s">
        <v>6208</v>
      </c>
      <c r="C11" s="7">
        <v>345.02</v>
      </c>
      <c r="D11" s="7">
        <v>273.86999999999995</v>
      </c>
      <c r="E11" s="7">
        <v>184.12999999999997</v>
      </c>
      <c r="F11" s="7">
        <v>201.11499999999998</v>
      </c>
    </row>
    <row r="12" spans="1:6" x14ac:dyDescent="0.2">
      <c r="B12" t="s">
        <v>6209</v>
      </c>
      <c r="C12" s="7">
        <v>334.89</v>
      </c>
      <c r="D12" s="7">
        <v>70.95</v>
      </c>
      <c r="E12" s="7">
        <v>134.23000000000002</v>
      </c>
      <c r="F12" s="7">
        <v>166.27499999999998</v>
      </c>
    </row>
    <row r="13" spans="1:6" x14ac:dyDescent="0.2">
      <c r="B13" t="s">
        <v>6210</v>
      </c>
      <c r="C13" s="7">
        <v>178.70999999999998</v>
      </c>
      <c r="D13" s="7">
        <v>166.1</v>
      </c>
      <c r="E13" s="7">
        <v>439.30999999999995</v>
      </c>
      <c r="F13" s="7">
        <v>492.9</v>
      </c>
    </row>
    <row r="14" spans="1:6" x14ac:dyDescent="0.2">
      <c r="B14" t="s">
        <v>6211</v>
      </c>
      <c r="C14" s="7">
        <v>301.98500000000001</v>
      </c>
      <c r="D14" s="7">
        <v>153.76499999999999</v>
      </c>
      <c r="E14" s="7">
        <v>215.55499999999998</v>
      </c>
      <c r="F14" s="7">
        <v>213.66499999999999</v>
      </c>
    </row>
    <row r="15" spans="1:6" x14ac:dyDescent="0.2">
      <c r="B15" t="s">
        <v>6212</v>
      </c>
      <c r="C15" s="7">
        <v>312.83499999999998</v>
      </c>
      <c r="D15" s="7">
        <v>63.249999999999993</v>
      </c>
      <c r="E15" s="7">
        <v>350.89500000000004</v>
      </c>
      <c r="F15" s="7">
        <v>96.405000000000001</v>
      </c>
    </row>
    <row r="16" spans="1:6" x14ac:dyDescent="0.2">
      <c r="B16" t="s">
        <v>6213</v>
      </c>
      <c r="C16" s="7">
        <v>265.62</v>
      </c>
      <c r="D16" s="7">
        <v>526.51499999999987</v>
      </c>
      <c r="E16" s="7">
        <v>187.06</v>
      </c>
      <c r="F16" s="7">
        <v>210.58999999999997</v>
      </c>
    </row>
    <row r="17" spans="1:6" x14ac:dyDescent="0.2">
      <c r="A17" t="s">
        <v>6199</v>
      </c>
      <c r="B17" t="s">
        <v>6202</v>
      </c>
      <c r="C17" s="7">
        <v>47.25</v>
      </c>
      <c r="D17" s="7">
        <v>65.805000000000007</v>
      </c>
      <c r="E17" s="7">
        <v>274.67500000000001</v>
      </c>
      <c r="F17" s="7">
        <v>179.22</v>
      </c>
    </row>
    <row r="18" spans="1:6" x14ac:dyDescent="0.2">
      <c r="B18" t="s">
        <v>6203</v>
      </c>
      <c r="C18" s="7">
        <v>745.44999999999993</v>
      </c>
      <c r="D18" s="7">
        <v>428.88499999999999</v>
      </c>
      <c r="E18" s="7">
        <v>194.17499999999998</v>
      </c>
      <c r="F18" s="7">
        <v>429.82999999999993</v>
      </c>
    </row>
    <row r="19" spans="1:6" x14ac:dyDescent="0.2">
      <c r="B19" t="s">
        <v>6204</v>
      </c>
      <c r="C19" s="7">
        <v>130.47</v>
      </c>
      <c r="D19" s="7">
        <v>271.48500000000001</v>
      </c>
      <c r="E19" s="7">
        <v>281.20499999999998</v>
      </c>
      <c r="F19" s="7">
        <v>231.63000000000002</v>
      </c>
    </row>
    <row r="20" spans="1:6" x14ac:dyDescent="0.2">
      <c r="B20" t="s">
        <v>6205</v>
      </c>
      <c r="C20" s="7">
        <v>27</v>
      </c>
      <c r="D20" s="7">
        <v>347.26</v>
      </c>
      <c r="E20" s="7">
        <v>147.51</v>
      </c>
      <c r="F20" s="7">
        <v>240.04</v>
      </c>
    </row>
    <row r="21" spans="1:6" x14ac:dyDescent="0.2">
      <c r="B21" t="s">
        <v>6206</v>
      </c>
      <c r="C21" s="7">
        <v>255.11499999999995</v>
      </c>
      <c r="D21" s="7">
        <v>541.73</v>
      </c>
      <c r="E21" s="7">
        <v>83.43</v>
      </c>
      <c r="F21" s="7">
        <v>59.079999999999991</v>
      </c>
    </row>
    <row r="22" spans="1:6" x14ac:dyDescent="0.2">
      <c r="B22" t="s">
        <v>6207</v>
      </c>
      <c r="C22" s="7">
        <v>584.78999999999985</v>
      </c>
      <c r="D22" s="7">
        <v>357.42999999999995</v>
      </c>
      <c r="E22" s="7">
        <v>355.34</v>
      </c>
      <c r="F22" s="7">
        <v>140.88</v>
      </c>
    </row>
    <row r="23" spans="1:6" x14ac:dyDescent="0.2">
      <c r="B23" t="s">
        <v>6208</v>
      </c>
      <c r="C23" s="7">
        <v>430.62</v>
      </c>
      <c r="D23" s="7">
        <v>227.42500000000001</v>
      </c>
      <c r="E23" s="7">
        <v>236.315</v>
      </c>
      <c r="F23" s="7">
        <v>414.58499999999992</v>
      </c>
    </row>
    <row r="24" spans="1:6" x14ac:dyDescent="0.2">
      <c r="B24" t="s">
        <v>6209</v>
      </c>
      <c r="C24" s="7">
        <v>22.5</v>
      </c>
      <c r="D24" s="7">
        <v>77.72</v>
      </c>
      <c r="E24" s="7">
        <v>60.5</v>
      </c>
      <c r="F24" s="7">
        <v>139.67999999999998</v>
      </c>
    </row>
    <row r="25" spans="1:6" x14ac:dyDescent="0.2">
      <c r="B25" t="s">
        <v>6210</v>
      </c>
      <c r="C25" s="7">
        <v>126.14999999999999</v>
      </c>
      <c r="D25" s="7">
        <v>195.11</v>
      </c>
      <c r="E25" s="7">
        <v>89.13</v>
      </c>
      <c r="F25" s="7">
        <v>302.65999999999997</v>
      </c>
    </row>
    <row r="26" spans="1:6" x14ac:dyDescent="0.2">
      <c r="B26" t="s">
        <v>6211</v>
      </c>
      <c r="C26" s="7">
        <v>376.03</v>
      </c>
      <c r="D26" s="7">
        <v>523.24</v>
      </c>
      <c r="E26" s="7">
        <v>440.96499999999997</v>
      </c>
      <c r="F26" s="7">
        <v>174.46999999999997</v>
      </c>
    </row>
    <row r="27" spans="1:6" x14ac:dyDescent="0.2">
      <c r="B27" t="s">
        <v>6212</v>
      </c>
      <c r="C27" s="7">
        <v>515.17999999999995</v>
      </c>
      <c r="D27" s="7">
        <v>142.56</v>
      </c>
      <c r="E27" s="7">
        <v>347.03999999999996</v>
      </c>
      <c r="F27" s="7">
        <v>104.08499999999999</v>
      </c>
    </row>
    <row r="28" spans="1:6" x14ac:dyDescent="0.2">
      <c r="B28" t="s">
        <v>6213</v>
      </c>
      <c r="C28" s="7">
        <v>95.859999999999985</v>
      </c>
      <c r="D28" s="7">
        <v>484.76</v>
      </c>
      <c r="E28" s="7">
        <v>94.17</v>
      </c>
      <c r="F28" s="7">
        <v>77.10499999999999</v>
      </c>
    </row>
    <row r="29" spans="1:6" x14ac:dyDescent="0.2">
      <c r="A29" t="s">
        <v>6200</v>
      </c>
      <c r="B29" t="s">
        <v>6202</v>
      </c>
      <c r="C29" s="7">
        <v>258.34500000000003</v>
      </c>
      <c r="D29" s="7">
        <v>139.625</v>
      </c>
      <c r="E29" s="7">
        <v>279.52000000000004</v>
      </c>
      <c r="F29" s="7">
        <v>160.19499999999999</v>
      </c>
    </row>
    <row r="30" spans="1:6" x14ac:dyDescent="0.2">
      <c r="B30" t="s">
        <v>6203</v>
      </c>
      <c r="C30" s="7">
        <v>342.2</v>
      </c>
      <c r="D30" s="7">
        <v>284.24999999999994</v>
      </c>
      <c r="E30" s="7">
        <v>251.83</v>
      </c>
      <c r="F30" s="7">
        <v>80.550000000000011</v>
      </c>
    </row>
    <row r="31" spans="1:6" x14ac:dyDescent="0.2">
      <c r="B31" t="s">
        <v>6204</v>
      </c>
      <c r="C31" s="7">
        <v>418.30499999999989</v>
      </c>
      <c r="D31" s="7">
        <v>468.125</v>
      </c>
      <c r="E31" s="7">
        <v>405.05500000000006</v>
      </c>
      <c r="F31" s="7">
        <v>253.15499999999997</v>
      </c>
    </row>
    <row r="32" spans="1:6" x14ac:dyDescent="0.2">
      <c r="B32" t="s">
        <v>6205</v>
      </c>
      <c r="C32" s="7">
        <v>102.32999999999998</v>
      </c>
      <c r="D32" s="7">
        <v>242.14000000000001</v>
      </c>
      <c r="E32" s="7">
        <v>554.875</v>
      </c>
      <c r="F32" s="7">
        <v>106.23999999999998</v>
      </c>
    </row>
    <row r="33" spans="1:6" x14ac:dyDescent="0.2">
      <c r="B33" t="s">
        <v>6206</v>
      </c>
      <c r="C33" s="7">
        <v>234.71999999999997</v>
      </c>
      <c r="D33" s="7">
        <v>133.08000000000001</v>
      </c>
      <c r="E33" s="7">
        <v>267.2</v>
      </c>
      <c r="F33" s="7">
        <v>272.68999999999994</v>
      </c>
    </row>
    <row r="34" spans="1:6" x14ac:dyDescent="0.2">
      <c r="B34" t="s">
        <v>6207</v>
      </c>
      <c r="C34" s="7">
        <v>430.39</v>
      </c>
      <c r="D34" s="7">
        <v>136.20500000000001</v>
      </c>
      <c r="E34" s="7">
        <v>209.6</v>
      </c>
      <c r="F34" s="7">
        <v>88.334999999999994</v>
      </c>
    </row>
    <row r="35" spans="1:6" x14ac:dyDescent="0.2">
      <c r="B35" t="s">
        <v>6208</v>
      </c>
      <c r="C35" s="7">
        <v>109.005</v>
      </c>
      <c r="D35" s="7">
        <v>393.57499999999999</v>
      </c>
      <c r="E35" s="7">
        <v>61.034999999999997</v>
      </c>
      <c r="F35" s="7">
        <v>199.48999999999998</v>
      </c>
    </row>
    <row r="36" spans="1:6" x14ac:dyDescent="0.2">
      <c r="B36" t="s">
        <v>6209</v>
      </c>
      <c r="C36" s="7">
        <v>287.52499999999998</v>
      </c>
      <c r="D36" s="7">
        <v>288.67</v>
      </c>
      <c r="E36" s="7">
        <v>125.58</v>
      </c>
      <c r="F36" s="7">
        <v>374.13499999999999</v>
      </c>
    </row>
    <row r="37" spans="1:6" x14ac:dyDescent="0.2">
      <c r="B37" t="s">
        <v>6210</v>
      </c>
      <c r="C37" s="7">
        <v>840.92999999999984</v>
      </c>
      <c r="D37" s="7">
        <v>409.875</v>
      </c>
      <c r="E37" s="7">
        <v>171.32999999999998</v>
      </c>
      <c r="F37" s="7">
        <v>221.43999999999997</v>
      </c>
    </row>
    <row r="38" spans="1:6" x14ac:dyDescent="0.2">
      <c r="B38" t="s">
        <v>6211</v>
      </c>
      <c r="C38" s="7">
        <v>299.07</v>
      </c>
      <c r="D38" s="7">
        <v>260.32499999999999</v>
      </c>
      <c r="E38" s="7">
        <v>584.64</v>
      </c>
      <c r="F38" s="7">
        <v>256.36500000000001</v>
      </c>
    </row>
    <row r="39" spans="1:6" x14ac:dyDescent="0.2">
      <c r="B39" t="s">
        <v>6212</v>
      </c>
      <c r="C39" s="7">
        <v>323.32499999999999</v>
      </c>
      <c r="D39" s="7">
        <v>565.57000000000005</v>
      </c>
      <c r="E39" s="7">
        <v>537.80999999999995</v>
      </c>
      <c r="F39" s="7">
        <v>189.47499999999999</v>
      </c>
    </row>
    <row r="40" spans="1:6" x14ac:dyDescent="0.2">
      <c r="B40" t="s">
        <v>6213</v>
      </c>
      <c r="C40" s="7">
        <v>399.48499999999996</v>
      </c>
      <c r="D40" s="7">
        <v>148.19999999999999</v>
      </c>
      <c r="E40" s="7">
        <v>388.21999999999997</v>
      </c>
      <c r="F40" s="7">
        <v>212.07499999999999</v>
      </c>
    </row>
    <row r="41" spans="1:6" x14ac:dyDescent="0.2">
      <c r="A41" t="s">
        <v>6201</v>
      </c>
      <c r="B41" t="s">
        <v>6202</v>
      </c>
      <c r="C41" s="7">
        <v>112.69499999999999</v>
      </c>
      <c r="D41" s="7">
        <v>166.32</v>
      </c>
      <c r="E41" s="7">
        <v>843.71499999999992</v>
      </c>
      <c r="F41" s="7">
        <v>146.685</v>
      </c>
    </row>
    <row r="42" spans="1:6" x14ac:dyDescent="0.2">
      <c r="B42" t="s">
        <v>6203</v>
      </c>
      <c r="C42" s="7">
        <v>114.87999999999998</v>
      </c>
      <c r="D42" s="7">
        <v>133.815</v>
      </c>
      <c r="E42" s="7">
        <v>91.175000000000011</v>
      </c>
      <c r="F42" s="7">
        <v>53.759999999999991</v>
      </c>
    </row>
    <row r="43" spans="1:6" x14ac:dyDescent="0.2">
      <c r="B43" t="s">
        <v>6204</v>
      </c>
      <c r="C43" s="7">
        <v>277.76</v>
      </c>
      <c r="D43" s="7">
        <v>175.41</v>
      </c>
      <c r="E43" s="7">
        <v>462.50999999999993</v>
      </c>
      <c r="F43" s="7">
        <v>399.52499999999998</v>
      </c>
    </row>
    <row r="44" spans="1:6" x14ac:dyDescent="0.2">
      <c r="B44" t="s">
        <v>6205</v>
      </c>
      <c r="C44" s="7">
        <v>197.89499999999998</v>
      </c>
      <c r="D44" s="7">
        <v>289.755</v>
      </c>
      <c r="E44" s="7">
        <v>88.545000000000002</v>
      </c>
      <c r="F44" s="7">
        <v>200.25499999999997</v>
      </c>
    </row>
    <row r="45" spans="1:6" x14ac:dyDescent="0.2">
      <c r="B45" t="s">
        <v>6206</v>
      </c>
      <c r="C45" s="7">
        <v>193.11499999999998</v>
      </c>
      <c r="D45" s="7">
        <v>212.49499999999998</v>
      </c>
      <c r="E45" s="7">
        <v>292.29000000000002</v>
      </c>
      <c r="F45" s="7">
        <v>304.46999999999997</v>
      </c>
    </row>
    <row r="46" spans="1:6" x14ac:dyDescent="0.2">
      <c r="B46" t="s">
        <v>6207</v>
      </c>
      <c r="C46" s="7">
        <v>179.79</v>
      </c>
      <c r="D46" s="7">
        <v>426.2</v>
      </c>
      <c r="E46" s="7">
        <v>170.08999999999997</v>
      </c>
      <c r="F46" s="7">
        <v>379.31</v>
      </c>
    </row>
    <row r="47" spans="1:6" x14ac:dyDescent="0.2">
      <c r="B47" t="s">
        <v>6208</v>
      </c>
      <c r="C47" s="7">
        <v>247.28999999999996</v>
      </c>
      <c r="D47" s="7">
        <v>246.685</v>
      </c>
      <c r="E47" s="7">
        <v>271.05499999999995</v>
      </c>
      <c r="F47" s="7">
        <v>141.69999999999999</v>
      </c>
    </row>
    <row r="48" spans="1:6" x14ac:dyDescent="0.2">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338AC-3706-A84F-A147-66DF892197CC}">
  <sheetPr>
    <tabColor theme="9"/>
  </sheetPr>
  <dimension ref="A3:B6"/>
  <sheetViews>
    <sheetView zoomScaleNormal="100" workbookViewId="0">
      <selection activeCell="O19" sqref="O19"/>
    </sheetView>
  </sheetViews>
  <sheetFormatPr baseColWidth="10" defaultRowHeight="15" x14ac:dyDescent="0.2"/>
  <cols>
    <col min="1" max="1" width="13.5" bestFit="1" customWidth="1"/>
    <col min="2" max="2" width="10.5" bestFit="1" customWidth="1"/>
    <col min="3" max="3" width="6.6640625" bestFit="1" customWidth="1"/>
    <col min="4" max="6" width="7.33203125" bestFit="1" customWidth="1"/>
  </cols>
  <sheetData>
    <row r="3" spans="1:2" x14ac:dyDescent="0.2">
      <c r="A3" s="6" t="s">
        <v>7</v>
      </c>
      <c r="B3" t="s">
        <v>6216</v>
      </c>
    </row>
    <row r="4" spans="1:2" x14ac:dyDescent="0.2">
      <c r="A4" t="s">
        <v>28</v>
      </c>
      <c r="B4" s="7">
        <v>2798.5050000000001</v>
      </c>
    </row>
    <row r="5" spans="1:2" x14ac:dyDescent="0.2">
      <c r="A5" t="s">
        <v>318</v>
      </c>
      <c r="B5" s="7">
        <v>6696.8649999999989</v>
      </c>
    </row>
    <row r="6" spans="1:2" x14ac:dyDescent="0.2">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C6FB2-652D-7D47-9D69-2DBFFBBA6CB2}">
  <sheetPr>
    <tabColor theme="9"/>
  </sheetPr>
  <dimension ref="A3:B8"/>
  <sheetViews>
    <sheetView zoomScaleNormal="100" workbookViewId="0">
      <selection activeCell="A3" sqref="A3"/>
    </sheetView>
  </sheetViews>
  <sheetFormatPr baseColWidth="10" defaultRowHeight="15" x14ac:dyDescent="0.2"/>
  <cols>
    <col min="1" max="1" width="16" bestFit="1" customWidth="1"/>
    <col min="2" max="2" width="10.5" bestFit="1" customWidth="1"/>
    <col min="3" max="3" width="6.6640625" bestFit="1" customWidth="1"/>
    <col min="4" max="6" width="7.33203125" bestFit="1" customWidth="1"/>
  </cols>
  <sheetData>
    <row r="3" spans="1:2" x14ac:dyDescent="0.2">
      <c r="A3" s="6" t="s">
        <v>4</v>
      </c>
      <c r="B3" t="s">
        <v>6216</v>
      </c>
    </row>
    <row r="4" spans="1:2" x14ac:dyDescent="0.2">
      <c r="A4" t="s">
        <v>3753</v>
      </c>
      <c r="B4" s="7">
        <v>278.01</v>
      </c>
    </row>
    <row r="5" spans="1:2" x14ac:dyDescent="0.2">
      <c r="A5" t="s">
        <v>1598</v>
      </c>
      <c r="B5" s="7">
        <v>281.67499999999995</v>
      </c>
    </row>
    <row r="6" spans="1:2" x14ac:dyDescent="0.2">
      <c r="A6" t="s">
        <v>2587</v>
      </c>
      <c r="B6" s="7">
        <v>289.11</v>
      </c>
    </row>
    <row r="7" spans="1:2" x14ac:dyDescent="0.2">
      <c r="A7" t="s">
        <v>5765</v>
      </c>
      <c r="B7" s="7">
        <v>307.04499999999996</v>
      </c>
    </row>
    <row r="8" spans="1:2" x14ac:dyDescent="0.2">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6" zoomScaleNormal="154" workbookViewId="0">
      <selection activeCell="P3" sqref="P3"/>
    </sheetView>
  </sheetViews>
  <sheetFormatPr baseColWidth="10" defaultColWidth="8.83203125" defaultRowHeight="15" x14ac:dyDescent="0.2"/>
  <cols>
    <col min="1" max="1" width="16.5" bestFit="1" customWidth="1"/>
    <col min="2" max="2" width="11.83203125" bestFit="1" customWidth="1"/>
    <col min="3" max="3" width="17.5" bestFit="1" customWidth="1"/>
    <col min="4" max="4" width="11.1640625" customWidth="1"/>
    <col min="5" max="5" width="9.83203125" customWidth="1"/>
    <col min="6" max="6" width="15.5" bestFit="1" customWidth="1"/>
    <col min="7" max="7" width="34.1640625" bestFit="1" customWidth="1"/>
    <col min="8" max="8" width="18.33203125" customWidth="1"/>
    <col min="9" max="9" width="12" customWidth="1"/>
    <col min="10" max="10" width="11.6640625" customWidth="1"/>
    <col min="11" max="11" width="5.83203125" customWidth="1"/>
    <col min="12" max="12" width="10.33203125" customWidth="1"/>
    <col min="13" max="13" width="7.6640625" bestFit="1" customWidth="1"/>
    <col min="14" max="15" width="17"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 = "Rob", "Robusta",IF(I2 = "Exc","Excelsa",IF(I2= "Ara","Arabica",IF(I2="Lib","Liberica",""))))</f>
        <v>Robusta</v>
      </c>
      <c r="O2" t="str">
        <f t="shared" ref="O2:O66" si="0">IF(J2="M","Medium",IF(J2="L","Light",IF(J2="D","Dark","")))</f>
        <v>Medium</v>
      </c>
      <c r="P2" t="str">
        <f>_xlfn.XLOOKUP(Orders[[#This Row],[Customer ID]],customers!$A$2:$A$1001,customers!$I$2:$I$1001,"")</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1">L3*E3</f>
        <v>41.25</v>
      </c>
      <c r="N3" t="str">
        <f t="shared" ref="N3:N66" si="2">IF(I3 = "Rob", "Robusta",IF(I3 = "Exc","Excelsa",IF(I3= "Ara","Arabica",IF(I3="Lib","Liberica",""))))</f>
        <v>Excelsa</v>
      </c>
      <c r="O3" t="str">
        <f t="shared" si="0"/>
        <v>Medium</v>
      </c>
      <c r="P3" t="str">
        <f>_xlfn.XLOOKUP(Orders[[#This Row],[Customer ID]],customers!$A$2:$A$1001,customers!$I$2:$I$1001,"")</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1"/>
        <v>12.95</v>
      </c>
      <c r="N4" t="str">
        <f t="shared" si="2"/>
        <v>Arabica</v>
      </c>
      <c r="O4" t="str">
        <f t="shared" si="0"/>
        <v>Light</v>
      </c>
      <c r="P4" t="str">
        <f>_xlfn.XLOOKUP(Orders[[#This Row],[Customer ID]],customers!$A$2:$A$1001,customers!$I$2:$I$1001,"")</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1"/>
        <v>27.5</v>
      </c>
      <c r="N5" t="str">
        <f t="shared" si="2"/>
        <v>Excelsa</v>
      </c>
      <c r="O5" t="str">
        <f t="shared" si="0"/>
        <v>Medium</v>
      </c>
      <c r="P5" t="str">
        <f>_xlfn.XLOOKUP(Orders[[#This Row],[Customer ID]],customers!$A$2:$A$1001,customers!$I$2:$I$1001,"")</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1"/>
        <v>54.969999999999992</v>
      </c>
      <c r="N6" t="str">
        <f t="shared" si="2"/>
        <v>Robusta</v>
      </c>
      <c r="O6" t="str">
        <f t="shared" si="0"/>
        <v>Light</v>
      </c>
      <c r="P6" t="str">
        <f>_xlfn.XLOOKUP(Orders[[#This Row],[Customer ID]],customers!$A$2:$A$1001,customers!$I$2:$I$1001,"")</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1"/>
        <v>38.849999999999994</v>
      </c>
      <c r="N7" t="str">
        <f t="shared" si="2"/>
        <v>Liberica</v>
      </c>
      <c r="O7" t="str">
        <f t="shared" si="0"/>
        <v>Dark</v>
      </c>
      <c r="P7" t="str">
        <f>_xlfn.XLOOKUP(Orders[[#This Row],[Customer ID]],customers!$A$2:$A$1001,customers!$I$2:$I$1001,"")</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1"/>
        <v>21.87</v>
      </c>
      <c r="N8" t="str">
        <f t="shared" si="2"/>
        <v>Excelsa</v>
      </c>
      <c r="O8" t="str">
        <f t="shared" si="0"/>
        <v>Dark</v>
      </c>
      <c r="P8" t="str">
        <f>_xlfn.XLOOKUP(Orders[[#This Row],[Customer ID]],customers!$A$2:$A$1001,customers!$I$2:$I$1001,"")</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1"/>
        <v>4.7549999999999999</v>
      </c>
      <c r="N9" t="str">
        <f t="shared" si="2"/>
        <v>Liberica</v>
      </c>
      <c r="O9" t="str">
        <f t="shared" si="0"/>
        <v>Light</v>
      </c>
      <c r="P9" t="str">
        <f>_xlfn.XLOOKUP(Orders[[#This Row],[Customer ID]],customers!$A$2:$A$1001,customers!$I$2:$I$1001,"")</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1"/>
        <v>17.91</v>
      </c>
      <c r="N10" t="str">
        <f t="shared" si="2"/>
        <v>Robusta</v>
      </c>
      <c r="O10" t="str">
        <f t="shared" si="0"/>
        <v>Medium</v>
      </c>
      <c r="P10" t="str">
        <f>_xlfn.XLOOKUP(Orders[[#This Row],[Customer ID]],customers!$A$2:$A$1001,customers!$I$2:$I$1001,"")</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1"/>
        <v>5.97</v>
      </c>
      <c r="N11" t="str">
        <f t="shared" si="2"/>
        <v>Robusta</v>
      </c>
      <c r="O11" t="str">
        <f t="shared" si="0"/>
        <v>Medium</v>
      </c>
      <c r="P11" t="str">
        <f>_xlfn.XLOOKUP(Orders[[#This Row],[Customer ID]],customers!$A$2:$A$1001,customers!$I$2:$I$1001,"")</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1"/>
        <v>39.799999999999997</v>
      </c>
      <c r="N12" t="str">
        <f t="shared" si="2"/>
        <v>Arabica</v>
      </c>
      <c r="O12" t="str">
        <f t="shared" si="0"/>
        <v>Dark</v>
      </c>
      <c r="P12" t="str">
        <f>_xlfn.XLOOKUP(Orders[[#This Row],[Customer ID]],customers!$A$2:$A$1001,customers!$I$2:$I$1001,"")</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1"/>
        <v>170.77499999999998</v>
      </c>
      <c r="N13" t="str">
        <f t="shared" si="2"/>
        <v>Excelsa</v>
      </c>
      <c r="O13" t="str">
        <f t="shared" si="0"/>
        <v>Light</v>
      </c>
      <c r="P13" t="str">
        <f>_xlfn.XLOOKUP(Orders[[#This Row],[Customer ID]],customers!$A$2:$A$1001,customers!$I$2:$I$1001,"")</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1"/>
        <v>49.75</v>
      </c>
      <c r="N14" t="str">
        <f t="shared" si="2"/>
        <v>Robusta</v>
      </c>
      <c r="O14" t="str">
        <f t="shared" si="0"/>
        <v>Medium</v>
      </c>
      <c r="P14" t="str">
        <f>_xlfn.XLOOKUP(Orders[[#This Row],[Customer ID]],customers!$A$2:$A$1001,customers!$I$2:$I$1001,"")</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1"/>
        <v>41.169999999999995</v>
      </c>
      <c r="N15" t="str">
        <f t="shared" si="2"/>
        <v>Robusta</v>
      </c>
      <c r="O15" t="str">
        <f t="shared" si="0"/>
        <v>Dark</v>
      </c>
      <c r="P15" t="str">
        <f>_xlfn.XLOOKUP(Orders[[#This Row],[Customer ID]],customers!$A$2:$A$1001,customers!$I$2:$I$1001,"")</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1"/>
        <v>11.654999999999999</v>
      </c>
      <c r="N16" t="str">
        <f t="shared" si="2"/>
        <v>Liberica</v>
      </c>
      <c r="O16" t="str">
        <f t="shared" si="0"/>
        <v>Dark</v>
      </c>
      <c r="P16" t="str">
        <f>_xlfn.XLOOKUP(Orders[[#This Row],[Customer ID]],customers!$A$2:$A$1001,customers!$I$2:$I$1001,"")</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1"/>
        <v>114.42499999999998</v>
      </c>
      <c r="N17" t="str">
        <f t="shared" si="2"/>
        <v>Robusta</v>
      </c>
      <c r="O17" t="str">
        <f t="shared" si="0"/>
        <v>Medium</v>
      </c>
      <c r="P17" t="str">
        <f>_xlfn.XLOOKUP(Orders[[#This Row],[Customer ID]],customers!$A$2:$A$1001,customers!$I$2:$I$1001,"")</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1"/>
        <v>20.25</v>
      </c>
      <c r="N18" t="str">
        <f t="shared" si="2"/>
        <v>Arabica</v>
      </c>
      <c r="O18" t="str">
        <f t="shared" si="0"/>
        <v>Medium</v>
      </c>
      <c r="P18" t="str">
        <f>_xlfn.XLOOKUP(Orders[[#This Row],[Customer ID]],customers!$A$2:$A$1001,customers!$I$2:$I$1001,"")</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1"/>
        <v>77.699999999999989</v>
      </c>
      <c r="N19" t="str">
        <f t="shared" si="2"/>
        <v>Arabica</v>
      </c>
      <c r="O19" t="str">
        <f t="shared" si="0"/>
        <v>Light</v>
      </c>
      <c r="P19" t="str">
        <f>_xlfn.XLOOKUP(Orders[[#This Row],[Customer ID]],customers!$A$2:$A$1001,customers!$I$2:$I$1001,"")</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1"/>
        <v>82.339999999999989</v>
      </c>
      <c r="N20" t="str">
        <f t="shared" si="2"/>
        <v>Robusta</v>
      </c>
      <c r="O20" t="str">
        <f t="shared" si="0"/>
        <v>Dark</v>
      </c>
      <c r="P20" t="str">
        <f>_xlfn.XLOOKUP(Orders[[#This Row],[Customer ID]],customers!$A$2:$A$1001,customers!$I$2:$I$1001,"")</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1"/>
        <v>16.875</v>
      </c>
      <c r="N21" t="str">
        <f t="shared" si="2"/>
        <v>Arabica</v>
      </c>
      <c r="O21" t="str">
        <f t="shared" si="0"/>
        <v>Medium</v>
      </c>
      <c r="P21" t="str">
        <f>_xlfn.XLOOKUP(Orders[[#This Row],[Customer ID]],customers!$A$2:$A$1001,customers!$I$2:$I$1001,"")</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1"/>
        <v>14.58</v>
      </c>
      <c r="N22" t="str">
        <f t="shared" si="2"/>
        <v>Excelsa</v>
      </c>
      <c r="O22" t="str">
        <f t="shared" si="0"/>
        <v>Dark</v>
      </c>
      <c r="P22" t="str">
        <f>_xlfn.XLOOKUP(Orders[[#This Row],[Customer ID]],customers!$A$2:$A$1001,customers!$I$2:$I$1001,"")</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1"/>
        <v>17.91</v>
      </c>
      <c r="N23" t="str">
        <f t="shared" si="2"/>
        <v>Arabica</v>
      </c>
      <c r="O23" t="str">
        <f t="shared" si="0"/>
        <v>Dark</v>
      </c>
      <c r="P23" t="str">
        <f>_xlfn.XLOOKUP(Orders[[#This Row],[Customer ID]],customers!$A$2:$A$1001,customers!$I$2:$I$1001,"")</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1"/>
        <v>91.539999999999992</v>
      </c>
      <c r="N24" t="str">
        <f t="shared" si="2"/>
        <v>Robusta</v>
      </c>
      <c r="O24" t="str">
        <f t="shared" si="0"/>
        <v>Medium</v>
      </c>
      <c r="P24" t="str">
        <f>_xlfn.XLOOKUP(Orders[[#This Row],[Customer ID]],customers!$A$2:$A$1001,customers!$I$2:$I$1001,"")</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1"/>
        <v>11.94</v>
      </c>
      <c r="N25" t="str">
        <f t="shared" si="2"/>
        <v>Arabica</v>
      </c>
      <c r="O25" t="str">
        <f t="shared" si="0"/>
        <v>Dark</v>
      </c>
      <c r="P25" t="str">
        <f>_xlfn.XLOOKUP(Orders[[#This Row],[Customer ID]],customers!$A$2:$A$1001,customers!$I$2:$I$1001,"")</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1"/>
        <v>11.25</v>
      </c>
      <c r="N26" t="str">
        <f t="shared" si="2"/>
        <v>Arabica</v>
      </c>
      <c r="O26" t="str">
        <f t="shared" si="0"/>
        <v>Medium</v>
      </c>
      <c r="P26" t="str">
        <f>_xlfn.XLOOKUP(Orders[[#This Row],[Customer ID]],customers!$A$2:$A$1001,customers!$I$2:$I$1001,"")</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1"/>
        <v>12.375</v>
      </c>
      <c r="N27" t="str">
        <f t="shared" si="2"/>
        <v>Excelsa</v>
      </c>
      <c r="O27" t="str">
        <f t="shared" si="0"/>
        <v>Medium</v>
      </c>
      <c r="P27" t="str">
        <f>_xlfn.XLOOKUP(Orders[[#This Row],[Customer ID]],customers!$A$2:$A$1001,customers!$I$2:$I$1001,"")</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1"/>
        <v>27</v>
      </c>
      <c r="N28" t="str">
        <f t="shared" si="2"/>
        <v>Arabica</v>
      </c>
      <c r="O28" t="str">
        <f t="shared" si="0"/>
        <v>Medium</v>
      </c>
      <c r="P28" t="str">
        <f>_xlfn.XLOOKUP(Orders[[#This Row],[Customer ID]],customers!$A$2:$A$1001,customers!$I$2:$I$1001,"")</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1"/>
        <v>16.875</v>
      </c>
      <c r="N29" t="str">
        <f t="shared" si="2"/>
        <v>Arabica</v>
      </c>
      <c r="O29" t="str">
        <f t="shared" si="0"/>
        <v>Medium</v>
      </c>
      <c r="P29" t="str">
        <f>_xlfn.XLOOKUP(Orders[[#This Row],[Customer ID]],customers!$A$2:$A$1001,customers!$I$2:$I$1001,"")</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1"/>
        <v>17.91</v>
      </c>
      <c r="N30" t="str">
        <f t="shared" si="2"/>
        <v>Arabica</v>
      </c>
      <c r="O30" t="str">
        <f t="shared" si="0"/>
        <v>Dark</v>
      </c>
      <c r="P30" t="str">
        <f>_xlfn.XLOOKUP(Orders[[#This Row],[Customer ID]],customers!$A$2:$A$1001,customers!$I$2:$I$1001,"")</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1"/>
        <v>39.799999999999997</v>
      </c>
      <c r="N31" t="str">
        <f t="shared" si="2"/>
        <v>Arabica</v>
      </c>
      <c r="O31" t="str">
        <f t="shared" si="0"/>
        <v>Dark</v>
      </c>
      <c r="P31" t="str">
        <f>_xlfn.XLOOKUP(Orders[[#This Row],[Customer ID]],customers!$A$2:$A$1001,customers!$I$2:$I$1001,"")</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1"/>
        <v>21.825000000000003</v>
      </c>
      <c r="N32" t="str">
        <f t="shared" si="2"/>
        <v>Liberica</v>
      </c>
      <c r="O32" t="str">
        <f t="shared" si="0"/>
        <v>Medium</v>
      </c>
      <c r="P32" t="str">
        <f>_xlfn.XLOOKUP(Orders[[#This Row],[Customer ID]],customers!$A$2:$A$1001,customers!$I$2:$I$1001,"")</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1"/>
        <v>35.82</v>
      </c>
      <c r="N33" t="str">
        <f t="shared" si="2"/>
        <v>Arabica</v>
      </c>
      <c r="O33" t="str">
        <f t="shared" si="0"/>
        <v>Dark</v>
      </c>
      <c r="P33" t="str">
        <f>_xlfn.XLOOKUP(Orders[[#This Row],[Customer ID]],customers!$A$2:$A$1001,customers!$I$2:$I$1001,"")</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1"/>
        <v>52.38</v>
      </c>
      <c r="N34" t="str">
        <f t="shared" si="2"/>
        <v>Liberica</v>
      </c>
      <c r="O34" t="str">
        <f t="shared" si="0"/>
        <v>Medium</v>
      </c>
      <c r="P34" t="str">
        <f>_xlfn.XLOOKUP(Orders[[#This Row],[Customer ID]],customers!$A$2:$A$1001,customers!$I$2:$I$1001,"")</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1"/>
        <v>23.774999999999999</v>
      </c>
      <c r="N35" t="str">
        <f t="shared" si="2"/>
        <v>Liberica</v>
      </c>
      <c r="O35" t="str">
        <f t="shared" si="0"/>
        <v>Light</v>
      </c>
      <c r="P35" t="str">
        <f>_xlfn.XLOOKUP(Orders[[#This Row],[Customer ID]],customers!$A$2:$A$1001,customers!$I$2:$I$1001,"")</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1"/>
        <v>57.06</v>
      </c>
      <c r="N36" t="str">
        <f t="shared" si="2"/>
        <v>Liberica</v>
      </c>
      <c r="O36" t="str">
        <f t="shared" si="0"/>
        <v>Light</v>
      </c>
      <c r="P36" t="str">
        <f>_xlfn.XLOOKUP(Orders[[#This Row],[Customer ID]],customers!$A$2:$A$1001,customers!$I$2:$I$1001,"")</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1"/>
        <v>35.82</v>
      </c>
      <c r="N37" t="str">
        <f t="shared" si="2"/>
        <v>Arabica</v>
      </c>
      <c r="O37" t="str">
        <f t="shared" si="0"/>
        <v>Dark</v>
      </c>
      <c r="P37" t="str">
        <f>_xlfn.XLOOKUP(Orders[[#This Row],[Customer ID]],customers!$A$2:$A$1001,customers!$I$2:$I$1001,"")</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1"/>
        <v>8.73</v>
      </c>
      <c r="N38" t="str">
        <f t="shared" si="2"/>
        <v>Liberica</v>
      </c>
      <c r="O38" t="str">
        <f t="shared" si="0"/>
        <v>Medium</v>
      </c>
      <c r="P38" t="str">
        <f>_xlfn.XLOOKUP(Orders[[#This Row],[Customer ID]],customers!$A$2:$A$1001,customers!$I$2:$I$1001,"")</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1"/>
        <v>28.53</v>
      </c>
      <c r="N39" t="str">
        <f t="shared" si="2"/>
        <v>Liberica</v>
      </c>
      <c r="O39" t="str">
        <f t="shared" si="0"/>
        <v>Light</v>
      </c>
      <c r="P39" t="str">
        <f>_xlfn.XLOOKUP(Orders[[#This Row],[Customer ID]],customers!$A$2:$A$1001,customers!$I$2:$I$1001,"")</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1"/>
        <v>114.42499999999998</v>
      </c>
      <c r="N40" t="str">
        <f t="shared" si="2"/>
        <v>Robusta</v>
      </c>
      <c r="O40" t="str">
        <f t="shared" si="0"/>
        <v>Medium</v>
      </c>
      <c r="P40" t="str">
        <f>_xlfn.XLOOKUP(Orders[[#This Row],[Customer ID]],customers!$A$2:$A$1001,customers!$I$2:$I$1001,"")</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1"/>
        <v>59.699999999999996</v>
      </c>
      <c r="N41" t="str">
        <f t="shared" si="2"/>
        <v>Robusta</v>
      </c>
      <c r="O41" t="str">
        <f t="shared" si="0"/>
        <v>Medium</v>
      </c>
      <c r="P41" t="str">
        <f>_xlfn.XLOOKUP(Orders[[#This Row],[Customer ID]],customers!$A$2:$A$1001,customers!$I$2:$I$1001,"")</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1"/>
        <v>43.650000000000006</v>
      </c>
      <c r="N42" t="str">
        <f t="shared" si="2"/>
        <v>Liberica</v>
      </c>
      <c r="O42" t="str">
        <f t="shared" si="0"/>
        <v>Medium</v>
      </c>
      <c r="P42" t="str">
        <f>_xlfn.XLOOKUP(Orders[[#This Row],[Customer ID]],customers!$A$2:$A$1001,customers!$I$2:$I$1001,"")</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1"/>
        <v>7.29</v>
      </c>
      <c r="N43" t="str">
        <f t="shared" si="2"/>
        <v>Excelsa</v>
      </c>
      <c r="O43" t="str">
        <f t="shared" si="0"/>
        <v>Dark</v>
      </c>
      <c r="P43" t="str">
        <f>_xlfn.XLOOKUP(Orders[[#This Row],[Customer ID]],customers!$A$2:$A$1001,customers!$I$2:$I$1001,"")</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1"/>
        <v>8.0549999999999997</v>
      </c>
      <c r="N44" t="str">
        <f t="shared" si="2"/>
        <v>Robusta</v>
      </c>
      <c r="O44" t="str">
        <f t="shared" si="0"/>
        <v>Dark</v>
      </c>
      <c r="P44" t="str">
        <f>_xlfn.XLOOKUP(Orders[[#This Row],[Customer ID]],customers!$A$2:$A$1001,customers!$I$2:$I$1001,"")</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1"/>
        <v>72.91</v>
      </c>
      <c r="N45" t="str">
        <f t="shared" si="2"/>
        <v>Liberica</v>
      </c>
      <c r="O45" t="str">
        <f t="shared" si="0"/>
        <v>Light</v>
      </c>
      <c r="P45" t="str">
        <f>_xlfn.XLOOKUP(Orders[[#This Row],[Customer ID]],customers!$A$2:$A$1001,customers!$I$2:$I$1001,"")</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1"/>
        <v>16.5</v>
      </c>
      <c r="N46" t="str">
        <f t="shared" si="2"/>
        <v>Excelsa</v>
      </c>
      <c r="O46" t="str">
        <f t="shared" si="0"/>
        <v>Medium</v>
      </c>
      <c r="P46" t="str">
        <f>_xlfn.XLOOKUP(Orders[[#This Row],[Customer ID]],customers!$A$2:$A$1001,customers!$I$2:$I$1001,"")</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1"/>
        <v>178.70999999999998</v>
      </c>
      <c r="N47" t="str">
        <f t="shared" si="2"/>
        <v>Liberica</v>
      </c>
      <c r="O47" t="str">
        <f t="shared" si="0"/>
        <v>Dark</v>
      </c>
      <c r="P47" t="str">
        <f>_xlfn.XLOOKUP(Orders[[#This Row],[Customer ID]],customers!$A$2:$A$1001,customers!$I$2:$I$1001,"")</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1"/>
        <v>63.249999999999993</v>
      </c>
      <c r="N48" t="str">
        <f t="shared" si="2"/>
        <v>Excelsa</v>
      </c>
      <c r="O48" t="str">
        <f t="shared" si="0"/>
        <v>Medium</v>
      </c>
      <c r="P48" t="str">
        <f>_xlfn.XLOOKUP(Orders[[#This Row],[Customer ID]],customers!$A$2:$A$1001,customers!$I$2:$I$1001,"")</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1"/>
        <v>7.77</v>
      </c>
      <c r="N49" t="str">
        <f t="shared" si="2"/>
        <v>Arabica</v>
      </c>
      <c r="O49" t="str">
        <f t="shared" si="0"/>
        <v>Light</v>
      </c>
      <c r="P49" t="str">
        <f>_xlfn.XLOOKUP(Orders[[#This Row],[Customer ID]],customers!$A$2:$A$1001,customers!$I$2:$I$1001,"")</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1"/>
        <v>91.539999999999992</v>
      </c>
      <c r="N50" t="str">
        <f t="shared" si="2"/>
        <v>Arabica</v>
      </c>
      <c r="O50" t="str">
        <f t="shared" si="0"/>
        <v>Dark</v>
      </c>
      <c r="P50" t="str">
        <f>_xlfn.XLOOKUP(Orders[[#This Row],[Customer ID]],customers!$A$2:$A$1001,customers!$I$2:$I$1001,"")</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1"/>
        <v>38.849999999999994</v>
      </c>
      <c r="N51" t="str">
        <f t="shared" si="2"/>
        <v>Arabica</v>
      </c>
      <c r="O51" t="str">
        <f t="shared" si="0"/>
        <v>Light</v>
      </c>
      <c r="P51" t="str">
        <f>_xlfn.XLOOKUP(Orders[[#This Row],[Customer ID]],customers!$A$2:$A$1001,customers!$I$2:$I$1001,"")</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1"/>
        <v>15.54</v>
      </c>
      <c r="N52" t="str">
        <f t="shared" si="2"/>
        <v>Liberica</v>
      </c>
      <c r="O52" t="str">
        <f t="shared" si="0"/>
        <v>Dark</v>
      </c>
      <c r="P52" t="str">
        <f>_xlfn.XLOOKUP(Orders[[#This Row],[Customer ID]],customers!$A$2:$A$1001,customers!$I$2:$I$1001,"")</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1"/>
        <v>145.82</v>
      </c>
      <c r="N53" t="str">
        <f t="shared" si="2"/>
        <v>Liberica</v>
      </c>
      <c r="O53" t="str">
        <f t="shared" si="0"/>
        <v>Light</v>
      </c>
      <c r="P53" t="str">
        <f>_xlfn.XLOOKUP(Orders[[#This Row],[Customer ID]],customers!$A$2:$A$1001,customers!$I$2:$I$1001,"")</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1"/>
        <v>29.849999999999998</v>
      </c>
      <c r="N54" t="str">
        <f t="shared" si="2"/>
        <v>Robusta</v>
      </c>
      <c r="O54" t="str">
        <f t="shared" si="0"/>
        <v>Medium</v>
      </c>
      <c r="P54" t="str">
        <f>_xlfn.XLOOKUP(Orders[[#This Row],[Customer ID]],customers!$A$2:$A$1001,customers!$I$2:$I$1001,"")</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1"/>
        <v>72.91</v>
      </c>
      <c r="N55" t="str">
        <f t="shared" si="2"/>
        <v>Liberica</v>
      </c>
      <c r="O55" t="str">
        <f t="shared" si="0"/>
        <v>Light</v>
      </c>
      <c r="P55" t="str">
        <f>_xlfn.XLOOKUP(Orders[[#This Row],[Customer ID]],customers!$A$2:$A$1001,customers!$I$2:$I$1001,"")</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1"/>
        <v>72.75</v>
      </c>
      <c r="N56" t="str">
        <f t="shared" si="2"/>
        <v>Liberica</v>
      </c>
      <c r="O56" t="str">
        <f t="shared" si="0"/>
        <v>Medium</v>
      </c>
      <c r="P56" t="str">
        <f>_xlfn.XLOOKUP(Orders[[#This Row],[Customer ID]],customers!$A$2:$A$1001,customers!$I$2:$I$1001,"")</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1"/>
        <v>47.55</v>
      </c>
      <c r="N57" t="str">
        <f t="shared" si="2"/>
        <v>Liberica</v>
      </c>
      <c r="O57" t="str">
        <f t="shared" si="0"/>
        <v>Light</v>
      </c>
      <c r="P57" t="str">
        <f>_xlfn.XLOOKUP(Orders[[#This Row],[Customer ID]],customers!$A$2:$A$1001,customers!$I$2:$I$1001,"")</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1"/>
        <v>10.935</v>
      </c>
      <c r="N58" t="str">
        <f t="shared" si="2"/>
        <v>Excelsa</v>
      </c>
      <c r="O58" t="str">
        <f t="shared" si="0"/>
        <v>Dark</v>
      </c>
      <c r="P58" t="str">
        <f>_xlfn.XLOOKUP(Orders[[#This Row],[Customer ID]],customers!$A$2:$A$1001,customers!$I$2:$I$1001,"")</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1"/>
        <v>59.4</v>
      </c>
      <c r="N59" t="str">
        <f t="shared" si="2"/>
        <v>Excelsa</v>
      </c>
      <c r="O59" t="str">
        <f t="shared" si="0"/>
        <v>Light</v>
      </c>
      <c r="P59" t="str">
        <f>_xlfn.XLOOKUP(Orders[[#This Row],[Customer ID]],customers!$A$2:$A$1001,customers!$I$2:$I$1001,"")</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1"/>
        <v>89.35499999999999</v>
      </c>
      <c r="N60" t="str">
        <f t="shared" si="2"/>
        <v>Liberica</v>
      </c>
      <c r="O60" t="str">
        <f t="shared" si="0"/>
        <v>Dark</v>
      </c>
      <c r="P60" t="str">
        <f>_xlfn.XLOOKUP(Orders[[#This Row],[Customer ID]],customers!$A$2:$A$1001,customers!$I$2:$I$1001,"")</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1"/>
        <v>26.19</v>
      </c>
      <c r="N61" t="str">
        <f t="shared" si="2"/>
        <v>Liberica</v>
      </c>
      <c r="O61" t="str">
        <f t="shared" si="0"/>
        <v>Medium</v>
      </c>
      <c r="P61" t="str">
        <f>_xlfn.XLOOKUP(Orders[[#This Row],[Customer ID]],customers!$A$2:$A$1001,customers!$I$2:$I$1001,"")</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1"/>
        <v>114.42499999999998</v>
      </c>
      <c r="N62" t="str">
        <f t="shared" si="2"/>
        <v>Arabica</v>
      </c>
      <c r="O62" t="str">
        <f t="shared" si="0"/>
        <v>Dark</v>
      </c>
      <c r="P62" t="str">
        <f>_xlfn.XLOOKUP(Orders[[#This Row],[Customer ID]],customers!$A$2:$A$1001,customers!$I$2:$I$1001,"")</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1"/>
        <v>26.849999999999994</v>
      </c>
      <c r="N63" t="str">
        <f t="shared" si="2"/>
        <v>Robusta</v>
      </c>
      <c r="O63" t="str">
        <f t="shared" si="0"/>
        <v>Dark</v>
      </c>
      <c r="P63" t="str">
        <f>_xlfn.XLOOKUP(Orders[[#This Row],[Customer ID]],customers!$A$2:$A$1001,customers!$I$2:$I$1001,"")</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1"/>
        <v>23.774999999999999</v>
      </c>
      <c r="N64" t="str">
        <f t="shared" si="2"/>
        <v>Liberica</v>
      </c>
      <c r="O64" t="str">
        <f t="shared" si="0"/>
        <v>Light</v>
      </c>
      <c r="P64" t="str">
        <f>_xlfn.XLOOKUP(Orders[[#This Row],[Customer ID]],customers!$A$2:$A$1001,customers!$I$2:$I$1001,"")</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1"/>
        <v>6.75</v>
      </c>
      <c r="N65" t="str">
        <f t="shared" si="2"/>
        <v>Arabica</v>
      </c>
      <c r="O65" t="str">
        <f t="shared" si="0"/>
        <v>Medium</v>
      </c>
      <c r="P65" t="str">
        <f>_xlfn.XLOOKUP(Orders[[#This Row],[Customer ID]],customers!$A$2:$A$1001,customers!$I$2:$I$1001,"")</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1"/>
        <v>35.82</v>
      </c>
      <c r="N66" t="str">
        <f t="shared" si="2"/>
        <v>Robusta</v>
      </c>
      <c r="O66" t="str">
        <f t="shared" si="0"/>
        <v>Medium</v>
      </c>
      <c r="P66" t="str">
        <f>_xlfn.XLOOKUP(Orders[[#This Row],[Customer ID]],customers!$A$2:$A$1001,customers!$I$2:$I$1001,"")</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 = "Rob", "Robusta",IF(I67 = "Exc","Excelsa",IF(I67= "Ara","Arabica",IF(I67="Lib","Liberica",""))))</f>
        <v>Robusta</v>
      </c>
      <c r="O67" t="str">
        <f t="shared" ref="O67:O130" si="5">IF(J67="M","Medium",IF(J67="L","Light",IF(J67="D","Dark","")))</f>
        <v>Dark</v>
      </c>
      <c r="P67" t="str">
        <f>_xlfn.XLOOKUP(Orders[[#This Row],[Customer ID]],customers!$A$2:$A$1001,customers!$I$2:$I$1001,"")</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ID]],customers!$A$2:$A$1001,customers!$I$2:$I$1001,"")</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ID]],customers!$A$2:$A$1001,customers!$I$2:$I$1001,"")</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ID]],customers!$A$2:$A$1001,customers!$I$2:$I$1001,"")</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ID]],customers!$A$2:$A$1001,customers!$I$2:$I$1001,"")</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ID]],customers!$A$2:$A$1001,customers!$I$2:$I$1001,"")</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ID]],customers!$A$2:$A$1001,customers!$I$2:$I$1001,"")</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ID]],customers!$A$2:$A$1001,customers!$I$2:$I$1001,"")</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ID]],customers!$A$2:$A$1001,customers!$I$2:$I$1001,"")</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ID]],customers!$A$2:$A$1001,customers!$I$2:$I$1001,"")</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ID]],customers!$A$2:$A$1001,customers!$I$2:$I$1001,"")</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ID]],customers!$A$2:$A$1001,customers!$I$2:$I$1001,"")</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ID]],customers!$A$2:$A$1001,customers!$I$2:$I$1001,"")</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ID]],customers!$A$2:$A$1001,customers!$I$2:$I$1001,"")</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ID]],customers!$A$2:$A$1001,customers!$I$2:$I$1001,"")</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ID]],customers!$A$2:$A$1001,customers!$I$2:$I$1001,"")</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ID]],customers!$A$2:$A$1001,customers!$I$2:$I$1001,"")</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ID]],customers!$A$2:$A$1001,customers!$I$2:$I$1001,"")</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ID]],customers!$A$2:$A$1001,customers!$I$2:$I$1001,"")</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ID]],customers!$A$2:$A$1001,customers!$I$2:$I$1001,"")</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ID]],customers!$A$2:$A$1001,customers!$I$2:$I$1001,"")</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ID]],customers!$A$2:$A$1001,customers!$I$2:$I$1001,"")</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ID]],customers!$A$2:$A$1001,customers!$I$2:$I$1001,"")</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ID]],customers!$A$2:$A$1001,customers!$I$2:$I$1001,"")</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ID]],customers!$A$2:$A$1001,customers!$I$2:$I$1001,"")</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ID]],customers!$A$2:$A$1001,customers!$I$2:$I$1001,"")</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ID]],customers!$A$2:$A$1001,customers!$I$2:$I$1001,"")</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ID]],customers!$A$2:$A$1001,customers!$I$2:$I$1001,"")</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ID]],customers!$A$2:$A$1001,customers!$I$2:$I$1001,"")</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ID]],customers!$A$2:$A$1001,customers!$I$2:$I$1001,"")</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ID]],customers!$A$2:$A$1001,customers!$I$2:$I$1001,"")</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ID]],customers!$A$2:$A$1001,customers!$I$2:$I$1001,"")</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ID]],customers!$A$2:$A$1001,customers!$I$2:$I$1001,"")</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ID]],customers!$A$2:$A$1001,customers!$I$2:$I$1001,"")</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ID]],customers!$A$2:$A$1001,customers!$I$2:$I$1001,"")</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ID]],customers!$A$2:$A$1001,customers!$I$2:$I$1001,"")</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ID]],customers!$A$2:$A$1001,customers!$I$2:$I$1001,"")</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ID]],customers!$A$2:$A$1001,customers!$I$2:$I$1001,"")</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ID]],customers!$A$2:$A$1001,customers!$I$2:$I$1001,"")</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ID]],customers!$A$2:$A$1001,customers!$I$2:$I$1001,"")</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ID]],customers!$A$2:$A$1001,customers!$I$2:$I$1001,"")</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ID]],customers!$A$2:$A$1001,customers!$I$2:$I$1001,"")</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ID]],customers!$A$2:$A$1001,customers!$I$2:$I$1001,"")</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ID]],customers!$A$2:$A$1001,customers!$I$2:$I$1001,"")</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ID]],customers!$A$2:$A$1001,customers!$I$2:$I$1001,"")</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ID]],customers!$A$2:$A$1001,customers!$I$2:$I$1001,"")</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ID]],customers!$A$2:$A$1001,customers!$I$2:$I$1001,"")</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ID]],customers!$A$2:$A$1001,customers!$I$2:$I$1001,"")</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ID]],customers!$A$2:$A$1001,customers!$I$2:$I$1001,"")</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ID]],customers!$A$2:$A$1001,customers!$I$2:$I$1001,"")</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ID]],customers!$A$2:$A$1001,customers!$I$2:$I$1001,"")</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ID]],customers!$A$2:$A$1001,customers!$I$2:$I$1001,"")</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ID]],customers!$A$2:$A$1001,customers!$I$2:$I$1001,"")</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ID]],customers!$A$2:$A$1001,customers!$I$2:$I$1001,"")</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ID]],customers!$A$2:$A$1001,customers!$I$2:$I$1001,"")</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ID]],customers!$A$2:$A$1001,customers!$I$2:$I$1001,"")</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ID]],customers!$A$2:$A$1001,customers!$I$2:$I$1001,"")</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ID]],customers!$A$2:$A$1001,customers!$I$2:$I$1001,"")</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ID]],customers!$A$2:$A$1001,customers!$I$2:$I$1001,"")</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ID]],customers!$A$2:$A$1001,customers!$I$2:$I$1001,"")</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ID]],customers!$A$2:$A$1001,customers!$I$2:$I$1001,"")</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ID]],customers!$A$2:$A$1001,customers!$I$2:$I$1001,"")</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ID]],customers!$A$2:$A$1001,customers!$I$2:$I$1001,"")</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ID]],customers!$A$2:$A$1001,customers!$I$2:$I$1001,"")</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 = "Rob", "Robusta",IF(I131 = "Exc","Excelsa",IF(I131= "Ara","Arabica",IF(I131="Lib","Liberica",""))))</f>
        <v>Excelsa</v>
      </c>
      <c r="O131" t="str">
        <f t="shared" ref="O131:O194" si="8">IF(J131="M","Medium",IF(J131="L","Light",IF(J131="D","Dark","")))</f>
        <v>Dark</v>
      </c>
      <c r="P131" t="str">
        <f>_xlfn.XLOOKUP(Orders[[#This Row],[Customer ID]],customers!$A$2:$A$1001,customers!$I$2:$I$1001,"")</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ID]],customers!$A$2:$A$1001,customers!$I$2:$I$1001,"")</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ID]],customers!$A$2:$A$1001,customers!$I$2:$I$1001,"")</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ID]],customers!$A$2:$A$1001,customers!$I$2:$I$1001,"")</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ID]],customers!$A$2:$A$1001,customers!$I$2:$I$1001,"")</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ID]],customers!$A$2:$A$1001,customers!$I$2:$I$1001,"")</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ID]],customers!$A$2:$A$1001,customers!$I$2:$I$1001,"")</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ID]],customers!$A$2:$A$1001,customers!$I$2:$I$1001,"")</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ID]],customers!$A$2:$A$1001,customers!$I$2:$I$1001,"")</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ID]],customers!$A$2:$A$1001,customers!$I$2:$I$1001,"")</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ID]],customers!$A$2:$A$1001,customers!$I$2:$I$1001,"")</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ID]],customers!$A$2:$A$1001,customers!$I$2:$I$1001,"")</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ID]],customers!$A$2:$A$1001,customers!$I$2:$I$1001,"")</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ID]],customers!$A$2:$A$1001,customers!$I$2:$I$1001,"")</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ID]],customers!$A$2:$A$1001,customers!$I$2:$I$1001,"")</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ID]],customers!$A$2:$A$1001,customers!$I$2:$I$1001,"")</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ID]],customers!$A$2:$A$1001,customers!$I$2:$I$1001,"")</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ID]],customers!$A$2:$A$1001,customers!$I$2:$I$1001,"")</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ID]],customers!$A$2:$A$1001,customers!$I$2:$I$1001,"")</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ID]],customers!$A$2:$A$1001,customers!$I$2:$I$1001,"")</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ID]],customers!$A$2:$A$1001,customers!$I$2:$I$1001,"")</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ID]],customers!$A$2:$A$1001,customers!$I$2:$I$1001,"")</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ID]],customers!$A$2:$A$1001,customers!$I$2:$I$1001,"")</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ID]],customers!$A$2:$A$1001,customers!$I$2:$I$1001,"")</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ID]],customers!$A$2:$A$1001,customers!$I$2:$I$1001,"")</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ID]],customers!$A$2:$A$1001,customers!$I$2:$I$1001,"")</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ID]],customers!$A$2:$A$1001,customers!$I$2:$I$1001,"")</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ID]],customers!$A$2:$A$1001,customers!$I$2:$I$1001,"")</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ID]],customers!$A$2:$A$1001,customers!$I$2:$I$1001,"")</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ID]],customers!$A$2:$A$1001,customers!$I$2:$I$1001,"")</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ID]],customers!$A$2:$A$1001,customers!$I$2:$I$1001,"")</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ID]],customers!$A$2:$A$1001,customers!$I$2:$I$1001,"")</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ID]],customers!$A$2:$A$1001,customers!$I$2:$I$1001,"")</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ID]],customers!$A$2:$A$1001,customers!$I$2:$I$1001,"")</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ID]],customers!$A$2:$A$1001,customers!$I$2:$I$1001,"")</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ID]],customers!$A$2:$A$1001,customers!$I$2:$I$1001,"")</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ID]],customers!$A$2:$A$1001,customers!$I$2:$I$1001,"")</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ID]],customers!$A$2:$A$1001,customers!$I$2:$I$1001,"")</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ID]],customers!$A$2:$A$1001,customers!$I$2:$I$1001,"")</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ID]],customers!$A$2:$A$1001,customers!$I$2:$I$1001,"")</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ID]],customers!$A$2:$A$1001,customers!$I$2:$I$1001,"")</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ID]],customers!$A$2:$A$1001,customers!$I$2:$I$1001,"")</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ID]],customers!$A$2:$A$1001,customers!$I$2:$I$1001,"")</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ID]],customers!$A$2:$A$1001,customers!$I$2:$I$1001,"")</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ID]],customers!$A$2:$A$1001,customers!$I$2:$I$1001,"")</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ID]],customers!$A$2:$A$1001,customers!$I$2:$I$1001,"")</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ID]],customers!$A$2:$A$1001,customers!$I$2:$I$1001,"")</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ID]],customers!$A$2:$A$1001,customers!$I$2:$I$1001,"")</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ID]],customers!$A$2:$A$1001,customers!$I$2:$I$1001,"")</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ID]],customers!$A$2:$A$1001,customers!$I$2:$I$1001,"")</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ID]],customers!$A$2:$A$1001,customers!$I$2:$I$1001,"")</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ID]],customers!$A$2:$A$1001,customers!$I$2:$I$1001,"")</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ID]],customers!$A$2:$A$1001,customers!$I$2:$I$1001,"")</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ID]],customers!$A$2:$A$1001,customers!$I$2:$I$1001,"")</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ID]],customers!$A$2:$A$1001,customers!$I$2:$I$1001,"")</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ID]],customers!$A$2:$A$1001,customers!$I$2:$I$1001,"")</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ID]],customers!$A$2:$A$1001,customers!$I$2:$I$1001,"")</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ID]],customers!$A$2:$A$1001,customers!$I$2:$I$1001,"")</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ID]],customers!$A$2:$A$1001,customers!$I$2:$I$1001,"")</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ID]],customers!$A$2:$A$1001,customers!$I$2:$I$1001,"")</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ID]],customers!$A$2:$A$1001,customers!$I$2:$I$1001,"")</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ID]],customers!$A$2:$A$1001,customers!$I$2:$I$1001,"")</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ID]],customers!$A$2:$A$1001,customers!$I$2:$I$1001,"")</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ID]],customers!$A$2:$A$1001,customers!$I$2:$I$1001,"")</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 = "Rob", "Robusta",IF(I195 = "Exc","Excelsa",IF(I195= "Ara","Arabica",IF(I195="Lib","Liberica",""))))</f>
        <v>Excelsa</v>
      </c>
      <c r="O195" t="str">
        <f t="shared" ref="O195:O258" si="11">IF(J195="M","Medium",IF(J195="L","Light",IF(J195="D","Dark","")))</f>
        <v>Light</v>
      </c>
      <c r="P195" t="str">
        <f>_xlfn.XLOOKUP(Orders[[#This Row],[Customer ID]],customers!$A$2:$A$1001,customers!$I$2:$I$1001,"")</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ID]],customers!$A$2:$A$1001,customers!$I$2:$I$1001,"")</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ID]],customers!$A$2:$A$1001,customers!$I$2:$I$1001,"")</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ID]],customers!$A$2:$A$1001,customers!$I$2:$I$1001,"")</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ID]],customers!$A$2:$A$1001,customers!$I$2:$I$1001,"")</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ID]],customers!$A$2:$A$1001,customers!$I$2:$I$1001,"")</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ID]],customers!$A$2:$A$1001,customers!$I$2:$I$1001,"")</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ID]],customers!$A$2:$A$1001,customers!$I$2:$I$1001,"")</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ID]],customers!$A$2:$A$1001,customers!$I$2:$I$1001,"")</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ID]],customers!$A$2:$A$1001,customers!$I$2:$I$1001,"")</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ID]],customers!$A$2:$A$1001,customers!$I$2:$I$1001,"")</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ID]],customers!$A$2:$A$1001,customers!$I$2:$I$1001,"")</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ID]],customers!$A$2:$A$1001,customers!$I$2:$I$1001,"")</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ID]],customers!$A$2:$A$1001,customers!$I$2:$I$1001,"")</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ID]],customers!$A$2:$A$1001,customers!$I$2:$I$1001,"")</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ID]],customers!$A$2:$A$1001,customers!$I$2:$I$1001,"")</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ID]],customers!$A$2:$A$1001,customers!$I$2:$I$1001,"")</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ID]],customers!$A$2:$A$1001,customers!$I$2:$I$1001,"")</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ID]],customers!$A$2:$A$1001,customers!$I$2:$I$1001,"")</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ID]],customers!$A$2:$A$1001,customers!$I$2:$I$1001,"")</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ID]],customers!$A$2:$A$1001,customers!$I$2:$I$1001,"")</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ID]],customers!$A$2:$A$1001,customers!$I$2:$I$1001,"")</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ID]],customers!$A$2:$A$1001,customers!$I$2:$I$1001,"")</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ID]],customers!$A$2:$A$1001,customers!$I$2:$I$1001,"")</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ID]],customers!$A$2:$A$1001,customers!$I$2:$I$1001,"")</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ID]],customers!$A$2:$A$1001,customers!$I$2:$I$1001,"")</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ID]],customers!$A$2:$A$1001,customers!$I$2:$I$1001,"")</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ID]],customers!$A$2:$A$1001,customers!$I$2:$I$1001,"")</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ID]],customers!$A$2:$A$1001,customers!$I$2:$I$1001,"")</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ID]],customers!$A$2:$A$1001,customers!$I$2:$I$1001,"")</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ID]],customers!$A$2:$A$1001,customers!$I$2:$I$1001,"")</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ID]],customers!$A$2:$A$1001,customers!$I$2:$I$1001,"")</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ID]],customers!$A$2:$A$1001,customers!$I$2:$I$1001,"")</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ID]],customers!$A$2:$A$1001,customers!$I$2:$I$1001,"")</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ID]],customers!$A$2:$A$1001,customers!$I$2:$I$1001,"")</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ID]],customers!$A$2:$A$1001,customers!$I$2:$I$1001,"")</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ID]],customers!$A$2:$A$1001,customers!$I$2:$I$1001,"")</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ID]],customers!$A$2:$A$1001,customers!$I$2:$I$1001,"")</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ID]],customers!$A$2:$A$1001,customers!$I$2:$I$1001,"")</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ID]],customers!$A$2:$A$1001,customers!$I$2:$I$1001,"")</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ID]],customers!$A$2:$A$1001,customers!$I$2:$I$1001,"")</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ID]],customers!$A$2:$A$1001,customers!$I$2:$I$1001,"")</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ID]],customers!$A$2:$A$1001,customers!$I$2:$I$1001,"")</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ID]],customers!$A$2:$A$1001,customers!$I$2:$I$1001,"")</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ID]],customers!$A$2:$A$1001,customers!$I$2:$I$1001,"")</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ID]],customers!$A$2:$A$1001,customers!$I$2:$I$1001,"")</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ID]],customers!$A$2:$A$1001,customers!$I$2:$I$1001,"")</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ID]],customers!$A$2:$A$1001,customers!$I$2:$I$1001,"")</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ID]],customers!$A$2:$A$1001,customers!$I$2:$I$1001,"")</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ID]],customers!$A$2:$A$1001,customers!$I$2:$I$1001,"")</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ID]],customers!$A$2:$A$1001,customers!$I$2:$I$1001,"")</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ID]],customers!$A$2:$A$1001,customers!$I$2:$I$1001,"")</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ID]],customers!$A$2:$A$1001,customers!$I$2:$I$1001,"")</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ID]],customers!$A$2:$A$1001,customers!$I$2:$I$1001,"")</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ID]],customers!$A$2:$A$1001,customers!$I$2:$I$1001,"")</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ID]],customers!$A$2:$A$1001,customers!$I$2:$I$1001,"")</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ID]],customers!$A$2:$A$1001,customers!$I$2:$I$1001,"")</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ID]],customers!$A$2:$A$1001,customers!$I$2:$I$1001,"")</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ID]],customers!$A$2:$A$1001,customers!$I$2:$I$1001,"")</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ID]],customers!$A$2:$A$1001,customers!$I$2:$I$1001,"")</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ID]],customers!$A$2:$A$1001,customers!$I$2:$I$1001,"")</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ID]],customers!$A$2:$A$1001,customers!$I$2:$I$1001,"")</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ID]],customers!$A$2:$A$1001,customers!$I$2:$I$1001,"")</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ID]],customers!$A$2:$A$1001,customers!$I$2:$I$1001,"")</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 = "Rob", "Robusta",IF(I259 = "Exc","Excelsa",IF(I259= "Ara","Arabica",IF(I259="Lib","Liberica",""))))</f>
        <v>Excelsa</v>
      </c>
      <c r="O259" t="str">
        <f t="shared" ref="O259:O322" si="14">IF(J259="M","Medium",IF(J259="L","Light",IF(J259="D","Dark","")))</f>
        <v>Dark</v>
      </c>
      <c r="P259" t="str">
        <f>_xlfn.XLOOKUP(Orders[[#This Row],[Customer ID]],customers!$A$2:$A$1001,customers!$I$2:$I$1001,"")</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ID]],customers!$A$2:$A$1001,customers!$I$2:$I$1001,"")</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ID]],customers!$A$2:$A$1001,customers!$I$2:$I$1001,"")</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ID]],customers!$A$2:$A$1001,customers!$I$2:$I$1001,"")</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ID]],customers!$A$2:$A$1001,customers!$I$2:$I$1001,"")</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ID]],customers!$A$2:$A$1001,customers!$I$2:$I$1001,"")</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ID]],customers!$A$2:$A$1001,customers!$I$2:$I$1001,"")</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ID]],customers!$A$2:$A$1001,customers!$I$2:$I$1001,"")</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ID]],customers!$A$2:$A$1001,customers!$I$2:$I$1001,"")</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ID]],customers!$A$2:$A$1001,customers!$I$2:$I$1001,"")</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ID]],customers!$A$2:$A$1001,customers!$I$2:$I$1001,"")</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ID]],customers!$A$2:$A$1001,customers!$I$2:$I$1001,"")</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ID]],customers!$A$2:$A$1001,customers!$I$2:$I$1001,"")</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ID]],customers!$A$2:$A$1001,customers!$I$2:$I$1001,"")</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ID]],customers!$A$2:$A$1001,customers!$I$2:$I$1001,"")</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ID]],customers!$A$2:$A$1001,customers!$I$2:$I$1001,"")</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ID]],customers!$A$2:$A$1001,customers!$I$2:$I$1001,"")</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ID]],customers!$A$2:$A$1001,customers!$I$2:$I$1001,"")</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ID]],customers!$A$2:$A$1001,customers!$I$2:$I$1001,"")</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ID]],customers!$A$2:$A$1001,customers!$I$2:$I$1001,"")</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ID]],customers!$A$2:$A$1001,customers!$I$2:$I$1001,"")</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ID]],customers!$A$2:$A$1001,customers!$I$2:$I$1001,"")</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ID]],customers!$A$2:$A$1001,customers!$I$2:$I$1001,"")</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ID]],customers!$A$2:$A$1001,customers!$I$2:$I$1001,"")</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ID]],customers!$A$2:$A$1001,customers!$I$2:$I$1001,"")</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ID]],customers!$A$2:$A$1001,customers!$I$2:$I$1001,"")</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ID]],customers!$A$2:$A$1001,customers!$I$2:$I$1001,"")</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ID]],customers!$A$2:$A$1001,customers!$I$2:$I$1001,"")</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ID]],customers!$A$2:$A$1001,customers!$I$2:$I$1001,"")</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ID]],customers!$A$2:$A$1001,customers!$I$2:$I$1001,"")</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ID]],customers!$A$2:$A$1001,customers!$I$2:$I$1001,"")</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ID]],customers!$A$2:$A$1001,customers!$I$2:$I$1001,"")</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ID]],customers!$A$2:$A$1001,customers!$I$2:$I$1001,"")</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ID]],customers!$A$2:$A$1001,customers!$I$2:$I$1001,"")</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ID]],customers!$A$2:$A$1001,customers!$I$2:$I$1001,"")</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ID]],customers!$A$2:$A$1001,customers!$I$2:$I$1001,"")</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ID]],customers!$A$2:$A$1001,customers!$I$2:$I$1001,"")</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ID]],customers!$A$2:$A$1001,customers!$I$2:$I$1001,"")</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ID]],customers!$A$2:$A$1001,customers!$I$2:$I$1001,"")</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ID]],customers!$A$2:$A$1001,customers!$I$2:$I$1001,"")</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ID]],customers!$A$2:$A$1001,customers!$I$2:$I$1001,"")</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ID]],customers!$A$2:$A$1001,customers!$I$2:$I$1001,"")</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ID]],customers!$A$2:$A$1001,customers!$I$2:$I$1001,"")</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ID]],customers!$A$2:$A$1001,customers!$I$2:$I$1001,"")</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ID]],customers!$A$2:$A$1001,customers!$I$2:$I$1001,"")</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ID]],customers!$A$2:$A$1001,customers!$I$2:$I$1001,"")</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ID]],customers!$A$2:$A$1001,customers!$I$2:$I$1001,"")</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ID]],customers!$A$2:$A$1001,customers!$I$2:$I$1001,"")</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ID]],customers!$A$2:$A$1001,customers!$I$2:$I$1001,"")</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ID]],customers!$A$2:$A$1001,customers!$I$2:$I$1001,"")</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ID]],customers!$A$2:$A$1001,customers!$I$2:$I$1001,"")</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ID]],customers!$A$2:$A$1001,customers!$I$2:$I$1001,"")</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ID]],customers!$A$2:$A$1001,customers!$I$2:$I$1001,"")</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ID]],customers!$A$2:$A$1001,customers!$I$2:$I$1001,"")</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ID]],customers!$A$2:$A$1001,customers!$I$2:$I$1001,"")</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ID]],customers!$A$2:$A$1001,customers!$I$2:$I$1001,"")</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ID]],customers!$A$2:$A$1001,customers!$I$2:$I$1001,"")</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ID]],customers!$A$2:$A$1001,customers!$I$2:$I$1001,"")</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ID]],customers!$A$2:$A$1001,customers!$I$2:$I$1001,"")</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ID]],customers!$A$2:$A$1001,customers!$I$2:$I$1001,"")</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ID]],customers!$A$2:$A$1001,customers!$I$2:$I$1001,"")</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ID]],customers!$A$2:$A$1001,customers!$I$2:$I$1001,"")</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ID]],customers!$A$2:$A$1001,customers!$I$2:$I$1001,"")</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ID]],customers!$A$2:$A$1001,customers!$I$2:$I$1001,"")</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 = "Rob", "Robusta",IF(I323 = "Exc","Excelsa",IF(I323= "Ara","Arabica",IF(I323="Lib","Liberica",""))))</f>
        <v>Arabica</v>
      </c>
      <c r="O323" t="str">
        <f t="shared" ref="O323:O386" si="17">IF(J323="M","Medium",IF(J323="L","Light",IF(J323="D","Dark","")))</f>
        <v>Medium</v>
      </c>
      <c r="P323" t="str">
        <f>_xlfn.XLOOKUP(Orders[[#This Row],[Customer ID]],customers!$A$2:$A$1001,customers!$I$2:$I$1001,"")</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ID]],customers!$A$2:$A$1001,customers!$I$2:$I$1001,"")</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ID]],customers!$A$2:$A$1001,customers!$I$2:$I$1001,"")</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ID]],customers!$A$2:$A$1001,customers!$I$2:$I$1001,"")</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ID]],customers!$A$2:$A$1001,customers!$I$2:$I$1001,"")</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ID]],customers!$A$2:$A$1001,customers!$I$2:$I$1001,"")</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ID]],customers!$A$2:$A$1001,customers!$I$2:$I$1001,"")</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ID]],customers!$A$2:$A$1001,customers!$I$2:$I$1001,"")</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ID]],customers!$A$2:$A$1001,customers!$I$2:$I$1001,"")</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ID]],customers!$A$2:$A$1001,customers!$I$2:$I$1001,"")</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ID]],customers!$A$2:$A$1001,customers!$I$2:$I$1001,"")</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ID]],customers!$A$2:$A$1001,customers!$I$2:$I$1001,"")</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ID]],customers!$A$2:$A$1001,customers!$I$2:$I$1001,"")</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ID]],customers!$A$2:$A$1001,customers!$I$2:$I$1001,"")</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ID]],customers!$A$2:$A$1001,customers!$I$2:$I$1001,"")</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ID]],customers!$A$2:$A$1001,customers!$I$2:$I$1001,"")</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ID]],customers!$A$2:$A$1001,customers!$I$2:$I$1001,"")</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ID]],customers!$A$2:$A$1001,customers!$I$2:$I$1001,"")</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ID]],customers!$A$2:$A$1001,customers!$I$2:$I$1001,"")</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ID]],customers!$A$2:$A$1001,customers!$I$2:$I$1001,"")</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ID]],customers!$A$2:$A$1001,customers!$I$2:$I$1001,"")</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ID]],customers!$A$2:$A$1001,customers!$I$2:$I$1001,"")</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ID]],customers!$A$2:$A$1001,customers!$I$2:$I$1001,"")</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ID]],customers!$A$2:$A$1001,customers!$I$2:$I$1001,"")</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ID]],customers!$A$2:$A$1001,customers!$I$2:$I$1001,"")</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ID]],customers!$A$2:$A$1001,customers!$I$2:$I$1001,"")</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ID]],customers!$A$2:$A$1001,customers!$I$2:$I$1001,"")</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ID]],customers!$A$2:$A$1001,customers!$I$2:$I$1001,"")</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ID]],customers!$A$2:$A$1001,customers!$I$2:$I$1001,"")</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ID]],customers!$A$2:$A$1001,customers!$I$2:$I$1001,"")</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ID]],customers!$A$2:$A$1001,customers!$I$2:$I$1001,"")</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ID]],customers!$A$2:$A$1001,customers!$I$2:$I$1001,"")</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ID]],customers!$A$2:$A$1001,customers!$I$2:$I$1001,"")</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ID]],customers!$A$2:$A$1001,customers!$I$2:$I$1001,"")</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ID]],customers!$A$2:$A$1001,customers!$I$2:$I$1001,"")</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ID]],customers!$A$2:$A$1001,customers!$I$2:$I$1001,"")</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ID]],customers!$A$2:$A$1001,customers!$I$2:$I$1001,"")</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ID]],customers!$A$2:$A$1001,customers!$I$2:$I$1001,"")</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ID]],customers!$A$2:$A$1001,customers!$I$2:$I$1001,"")</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ID]],customers!$A$2:$A$1001,customers!$I$2:$I$1001,"")</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ID]],customers!$A$2:$A$1001,customers!$I$2:$I$1001,"")</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ID]],customers!$A$2:$A$1001,customers!$I$2:$I$1001,"")</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ID]],customers!$A$2:$A$1001,customers!$I$2:$I$1001,"")</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ID]],customers!$A$2:$A$1001,customers!$I$2:$I$1001,"")</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ID]],customers!$A$2:$A$1001,customers!$I$2:$I$1001,"")</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ID]],customers!$A$2:$A$1001,customers!$I$2:$I$1001,"")</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ID]],customers!$A$2:$A$1001,customers!$I$2:$I$1001,"")</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ID]],customers!$A$2:$A$1001,customers!$I$2:$I$1001,"")</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ID]],customers!$A$2:$A$1001,customers!$I$2:$I$1001,"")</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ID]],customers!$A$2:$A$1001,customers!$I$2:$I$1001,"")</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ID]],customers!$A$2:$A$1001,customers!$I$2:$I$1001,"")</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ID]],customers!$A$2:$A$1001,customers!$I$2:$I$1001,"")</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ID]],customers!$A$2:$A$1001,customers!$I$2:$I$1001,"")</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ID]],customers!$A$2:$A$1001,customers!$I$2:$I$1001,"")</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ID]],customers!$A$2:$A$1001,customers!$I$2:$I$1001,"")</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ID]],customers!$A$2:$A$1001,customers!$I$2:$I$1001,"")</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ID]],customers!$A$2:$A$1001,customers!$I$2:$I$1001,"")</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ID]],customers!$A$2:$A$1001,customers!$I$2:$I$1001,"")</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ID]],customers!$A$2:$A$1001,customers!$I$2:$I$1001,"")</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ID]],customers!$A$2:$A$1001,customers!$I$2:$I$1001,"")</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ID]],customers!$A$2:$A$1001,customers!$I$2:$I$1001,"")</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ID]],customers!$A$2:$A$1001,customers!$I$2:$I$1001,"")</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ID]],customers!$A$2:$A$1001,customers!$I$2:$I$1001,"")</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ID]],customers!$A$2:$A$1001,customers!$I$2:$I$1001,"")</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 = "Rob", "Robusta",IF(I387 = "Exc","Excelsa",IF(I387= "Ara","Arabica",IF(I387="Lib","Liberica",""))))</f>
        <v>Liberica</v>
      </c>
      <c r="O387" t="str">
        <f t="shared" ref="O387:O450" si="20">IF(J387="M","Medium",IF(J387="L","Light",IF(J387="D","Dark","")))</f>
        <v>Medium</v>
      </c>
      <c r="P387" t="str">
        <f>_xlfn.XLOOKUP(Orders[[#This Row],[Customer ID]],customers!$A$2:$A$1001,customers!$I$2:$I$1001,"")</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ID]],customers!$A$2:$A$1001,customers!$I$2:$I$1001,"")</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ID]],customers!$A$2:$A$1001,customers!$I$2:$I$1001,"")</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ID]],customers!$A$2:$A$1001,customers!$I$2:$I$1001,"")</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ID]],customers!$A$2:$A$1001,customers!$I$2:$I$1001,"")</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ID]],customers!$A$2:$A$1001,customers!$I$2:$I$1001,"")</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ID]],customers!$A$2:$A$1001,customers!$I$2:$I$1001,"")</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ID]],customers!$A$2:$A$1001,customers!$I$2:$I$1001,"")</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ID]],customers!$A$2:$A$1001,customers!$I$2:$I$1001,"")</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ID]],customers!$A$2:$A$1001,customers!$I$2:$I$1001,"")</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ID]],customers!$A$2:$A$1001,customers!$I$2:$I$1001,"")</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ID]],customers!$A$2:$A$1001,customers!$I$2:$I$1001,"")</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ID]],customers!$A$2:$A$1001,customers!$I$2:$I$1001,"")</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ID]],customers!$A$2:$A$1001,customers!$I$2:$I$1001,"")</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ID]],customers!$A$2:$A$1001,customers!$I$2:$I$1001,"")</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ID]],customers!$A$2:$A$1001,customers!$I$2:$I$1001,"")</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ID]],customers!$A$2:$A$1001,customers!$I$2:$I$1001,"")</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ID]],customers!$A$2:$A$1001,customers!$I$2:$I$1001,"")</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ID]],customers!$A$2:$A$1001,customers!$I$2:$I$1001,"")</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ID]],customers!$A$2:$A$1001,customers!$I$2:$I$1001,"")</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ID]],customers!$A$2:$A$1001,customers!$I$2:$I$1001,"")</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ID]],customers!$A$2:$A$1001,customers!$I$2:$I$1001,"")</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ID]],customers!$A$2:$A$1001,customers!$I$2:$I$1001,"")</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ID]],customers!$A$2:$A$1001,customers!$I$2:$I$1001,"")</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ID]],customers!$A$2:$A$1001,customers!$I$2:$I$1001,"")</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ID]],customers!$A$2:$A$1001,customers!$I$2:$I$1001,"")</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ID]],customers!$A$2:$A$1001,customers!$I$2:$I$1001,"")</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ID]],customers!$A$2:$A$1001,customers!$I$2:$I$1001,"")</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ID]],customers!$A$2:$A$1001,customers!$I$2:$I$1001,"")</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ID]],customers!$A$2:$A$1001,customers!$I$2:$I$1001,"")</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ID]],customers!$A$2:$A$1001,customers!$I$2:$I$1001,"")</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ID]],customers!$A$2:$A$1001,customers!$I$2:$I$1001,"")</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ID]],customers!$A$2:$A$1001,customers!$I$2:$I$1001,"")</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ID]],customers!$A$2:$A$1001,customers!$I$2:$I$1001,"")</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ID]],customers!$A$2:$A$1001,customers!$I$2:$I$1001,"")</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ID]],customers!$A$2:$A$1001,customers!$I$2:$I$1001,"")</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ID]],customers!$A$2:$A$1001,customers!$I$2:$I$1001,"")</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ID]],customers!$A$2:$A$1001,customers!$I$2:$I$1001,"")</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ID]],customers!$A$2:$A$1001,customers!$I$2:$I$1001,"")</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ID]],customers!$A$2:$A$1001,customers!$I$2:$I$1001,"")</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ID]],customers!$A$2:$A$1001,customers!$I$2:$I$1001,"")</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ID]],customers!$A$2:$A$1001,customers!$I$2:$I$1001,"")</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ID]],customers!$A$2:$A$1001,customers!$I$2:$I$1001,"")</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ID]],customers!$A$2:$A$1001,customers!$I$2:$I$1001,"")</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ID]],customers!$A$2:$A$1001,customers!$I$2:$I$1001,"")</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ID]],customers!$A$2:$A$1001,customers!$I$2:$I$1001,"")</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ID]],customers!$A$2:$A$1001,customers!$I$2:$I$1001,"")</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ID]],customers!$A$2:$A$1001,customers!$I$2:$I$1001,"")</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ID]],customers!$A$2:$A$1001,customers!$I$2:$I$1001,"")</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ID]],customers!$A$2:$A$1001,customers!$I$2:$I$1001,"")</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ID]],customers!$A$2:$A$1001,customers!$I$2:$I$1001,"")</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ID]],customers!$A$2:$A$1001,customers!$I$2:$I$1001,"")</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ID]],customers!$A$2:$A$1001,customers!$I$2:$I$1001,"")</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ID]],customers!$A$2:$A$1001,customers!$I$2:$I$1001,"")</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ID]],customers!$A$2:$A$1001,customers!$I$2:$I$1001,"")</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ID]],customers!$A$2:$A$1001,customers!$I$2:$I$1001,"")</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ID]],customers!$A$2:$A$1001,customers!$I$2:$I$1001,"")</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ID]],customers!$A$2:$A$1001,customers!$I$2:$I$1001,"")</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ID]],customers!$A$2:$A$1001,customers!$I$2:$I$1001,"")</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ID]],customers!$A$2:$A$1001,customers!$I$2:$I$1001,"")</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ID]],customers!$A$2:$A$1001,customers!$I$2:$I$1001,"")</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ID]],customers!$A$2:$A$1001,customers!$I$2:$I$1001,"")</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ID]],customers!$A$2:$A$1001,customers!$I$2:$I$1001,"")</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ID]],customers!$A$2:$A$1001,customers!$I$2:$I$1001,"")</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 = "Rob", "Robusta",IF(I451 = "Exc","Excelsa",IF(I451= "Ara","Arabica",IF(I451="Lib","Liberica",""))))</f>
        <v>Robusta</v>
      </c>
      <c r="O451" t="str">
        <f t="shared" ref="O451:O514" si="23">IF(J451="M","Medium",IF(J451="L","Light",IF(J451="D","Dark","")))</f>
        <v>Dark</v>
      </c>
      <c r="P451" t="str">
        <f>_xlfn.XLOOKUP(Orders[[#This Row],[Customer ID]],customers!$A$2:$A$1001,customers!$I$2:$I$1001,"")</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ID]],customers!$A$2:$A$1001,customers!$I$2:$I$1001,"")</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ID]],customers!$A$2:$A$1001,customers!$I$2:$I$1001,"")</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ID]],customers!$A$2:$A$1001,customers!$I$2:$I$1001,"")</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ID]],customers!$A$2:$A$1001,customers!$I$2:$I$1001,"")</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ID]],customers!$A$2:$A$1001,customers!$I$2:$I$1001,"")</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ID]],customers!$A$2:$A$1001,customers!$I$2:$I$1001,"")</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ID]],customers!$A$2:$A$1001,customers!$I$2:$I$1001,"")</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ID]],customers!$A$2:$A$1001,customers!$I$2:$I$1001,"")</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ID]],customers!$A$2:$A$1001,customers!$I$2:$I$1001,"")</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ID]],customers!$A$2:$A$1001,customers!$I$2:$I$1001,"")</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ID]],customers!$A$2:$A$1001,customers!$I$2:$I$1001,"")</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ID]],customers!$A$2:$A$1001,customers!$I$2:$I$1001,"")</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ID]],customers!$A$2:$A$1001,customers!$I$2:$I$1001,"")</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ID]],customers!$A$2:$A$1001,customers!$I$2:$I$1001,"")</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ID]],customers!$A$2:$A$1001,customers!$I$2:$I$1001,"")</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ID]],customers!$A$2:$A$1001,customers!$I$2:$I$1001,"")</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ID]],customers!$A$2:$A$1001,customers!$I$2:$I$1001,"")</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ID]],customers!$A$2:$A$1001,customers!$I$2:$I$1001,"")</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ID]],customers!$A$2:$A$1001,customers!$I$2:$I$1001,"")</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ID]],customers!$A$2:$A$1001,customers!$I$2:$I$1001,"")</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ID]],customers!$A$2:$A$1001,customers!$I$2:$I$1001,"")</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ID]],customers!$A$2:$A$1001,customers!$I$2:$I$1001,"")</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ID]],customers!$A$2:$A$1001,customers!$I$2:$I$1001,"")</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ID]],customers!$A$2:$A$1001,customers!$I$2:$I$1001,"")</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ID]],customers!$A$2:$A$1001,customers!$I$2:$I$1001,"")</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ID]],customers!$A$2:$A$1001,customers!$I$2:$I$1001,"")</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ID]],customers!$A$2:$A$1001,customers!$I$2:$I$1001,"")</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ID]],customers!$A$2:$A$1001,customers!$I$2:$I$1001,"")</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ID]],customers!$A$2:$A$1001,customers!$I$2:$I$1001,"")</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ID]],customers!$A$2:$A$1001,customers!$I$2:$I$1001,"")</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ID]],customers!$A$2:$A$1001,customers!$I$2:$I$1001,"")</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ID]],customers!$A$2:$A$1001,customers!$I$2:$I$1001,"")</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ID]],customers!$A$2:$A$1001,customers!$I$2:$I$1001,"")</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ID]],customers!$A$2:$A$1001,customers!$I$2:$I$1001,"")</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ID]],customers!$A$2:$A$1001,customers!$I$2:$I$1001,"")</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ID]],customers!$A$2:$A$1001,customers!$I$2:$I$1001,"")</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ID]],customers!$A$2:$A$1001,customers!$I$2:$I$1001,"")</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ID]],customers!$A$2:$A$1001,customers!$I$2:$I$1001,"")</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ID]],customers!$A$2:$A$1001,customers!$I$2:$I$1001,"")</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ID]],customers!$A$2:$A$1001,customers!$I$2:$I$1001,"")</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ID]],customers!$A$2:$A$1001,customers!$I$2:$I$1001,"")</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ID]],customers!$A$2:$A$1001,customers!$I$2:$I$1001,"")</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ID]],customers!$A$2:$A$1001,customers!$I$2:$I$1001,"")</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ID]],customers!$A$2:$A$1001,customers!$I$2:$I$1001,"")</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ID]],customers!$A$2:$A$1001,customers!$I$2:$I$1001,"")</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ID]],customers!$A$2:$A$1001,customers!$I$2:$I$1001,"")</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ID]],customers!$A$2:$A$1001,customers!$I$2:$I$1001,"")</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ID]],customers!$A$2:$A$1001,customers!$I$2:$I$1001,"")</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ID]],customers!$A$2:$A$1001,customers!$I$2:$I$1001,"")</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ID]],customers!$A$2:$A$1001,customers!$I$2:$I$1001,"")</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ID]],customers!$A$2:$A$1001,customers!$I$2:$I$1001,"")</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ID]],customers!$A$2:$A$1001,customers!$I$2:$I$1001,"")</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ID]],customers!$A$2:$A$1001,customers!$I$2:$I$1001,"")</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ID]],customers!$A$2:$A$1001,customers!$I$2:$I$1001,"")</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ID]],customers!$A$2:$A$1001,customers!$I$2:$I$1001,"")</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ID]],customers!$A$2:$A$1001,customers!$I$2:$I$1001,"")</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ID]],customers!$A$2:$A$1001,customers!$I$2:$I$1001,"")</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ID]],customers!$A$2:$A$1001,customers!$I$2:$I$1001,"")</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ID]],customers!$A$2:$A$1001,customers!$I$2:$I$1001,"")</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ID]],customers!$A$2:$A$1001,customers!$I$2:$I$1001,"")</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ID]],customers!$A$2:$A$1001,customers!$I$2:$I$1001,"")</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ID]],customers!$A$2:$A$1001,customers!$I$2:$I$1001,"")</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ID]],customers!$A$2:$A$1001,customers!$I$2:$I$1001,"")</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 = "Rob", "Robusta",IF(I515 = "Exc","Excelsa",IF(I515= "Ara","Arabica",IF(I515="Lib","Liberica",""))))</f>
        <v>Liberica</v>
      </c>
      <c r="O515" t="str">
        <f t="shared" ref="O515:O578" si="26">IF(J515="M","Medium",IF(J515="L","Light",IF(J515="D","Dark","")))</f>
        <v>Light</v>
      </c>
      <c r="P515" t="str">
        <f>_xlfn.XLOOKUP(Orders[[#This Row],[Customer ID]],customers!$A$2:$A$1001,customers!$I$2:$I$1001,"")</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ID]],customers!$A$2:$A$1001,customers!$I$2:$I$1001,"")</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ID]],customers!$A$2:$A$1001,customers!$I$2:$I$1001,"")</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ID]],customers!$A$2:$A$1001,customers!$I$2:$I$1001,"")</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ID]],customers!$A$2:$A$1001,customers!$I$2:$I$1001,"")</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ID]],customers!$A$2:$A$1001,customers!$I$2:$I$1001,"")</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ID]],customers!$A$2:$A$1001,customers!$I$2:$I$1001,"")</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ID]],customers!$A$2:$A$1001,customers!$I$2:$I$1001,"")</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ID]],customers!$A$2:$A$1001,customers!$I$2:$I$1001,"")</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ID]],customers!$A$2:$A$1001,customers!$I$2:$I$1001,"")</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ID]],customers!$A$2:$A$1001,customers!$I$2:$I$1001,"")</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ID]],customers!$A$2:$A$1001,customers!$I$2:$I$1001,"")</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ID]],customers!$A$2:$A$1001,customers!$I$2:$I$1001,"")</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ID]],customers!$A$2:$A$1001,customers!$I$2:$I$1001,"")</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ID]],customers!$A$2:$A$1001,customers!$I$2:$I$1001,"")</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ID]],customers!$A$2:$A$1001,customers!$I$2:$I$1001,"")</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ID]],customers!$A$2:$A$1001,customers!$I$2:$I$1001,"")</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ID]],customers!$A$2:$A$1001,customers!$I$2:$I$1001,"")</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ID]],customers!$A$2:$A$1001,customers!$I$2:$I$1001,"")</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ID]],customers!$A$2:$A$1001,customers!$I$2:$I$1001,"")</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ID]],customers!$A$2:$A$1001,customers!$I$2:$I$1001,"")</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ID]],customers!$A$2:$A$1001,customers!$I$2:$I$1001,"")</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ID]],customers!$A$2:$A$1001,customers!$I$2:$I$1001,"")</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ID]],customers!$A$2:$A$1001,customers!$I$2:$I$1001,"")</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ID]],customers!$A$2:$A$1001,customers!$I$2:$I$1001,"")</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ID]],customers!$A$2:$A$1001,customers!$I$2:$I$1001,"")</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ID]],customers!$A$2:$A$1001,customers!$I$2:$I$1001,"")</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ID]],customers!$A$2:$A$1001,customers!$I$2:$I$1001,"")</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ID]],customers!$A$2:$A$1001,customers!$I$2:$I$1001,"")</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ID]],customers!$A$2:$A$1001,customers!$I$2:$I$1001,"")</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ID]],customers!$A$2:$A$1001,customers!$I$2:$I$1001,"")</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ID]],customers!$A$2:$A$1001,customers!$I$2:$I$1001,"")</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ID]],customers!$A$2:$A$1001,customers!$I$2:$I$1001,"")</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ID]],customers!$A$2:$A$1001,customers!$I$2:$I$1001,"")</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ID]],customers!$A$2:$A$1001,customers!$I$2:$I$1001,"")</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ID]],customers!$A$2:$A$1001,customers!$I$2:$I$1001,"")</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ID]],customers!$A$2:$A$1001,customers!$I$2:$I$1001,"")</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ID]],customers!$A$2:$A$1001,customers!$I$2:$I$1001,"")</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ID]],customers!$A$2:$A$1001,customers!$I$2:$I$1001,"")</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ID]],customers!$A$2:$A$1001,customers!$I$2:$I$1001,"")</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ID]],customers!$A$2:$A$1001,customers!$I$2:$I$1001,"")</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ID]],customers!$A$2:$A$1001,customers!$I$2:$I$1001,"")</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ID]],customers!$A$2:$A$1001,customers!$I$2:$I$1001,"")</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ID]],customers!$A$2:$A$1001,customers!$I$2:$I$1001,"")</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ID]],customers!$A$2:$A$1001,customers!$I$2:$I$1001,"")</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ID]],customers!$A$2:$A$1001,customers!$I$2:$I$1001,"")</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ID]],customers!$A$2:$A$1001,customers!$I$2:$I$1001,"")</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ID]],customers!$A$2:$A$1001,customers!$I$2:$I$1001,"")</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ID]],customers!$A$2:$A$1001,customers!$I$2:$I$1001,"")</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ID]],customers!$A$2:$A$1001,customers!$I$2:$I$1001,"")</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ID]],customers!$A$2:$A$1001,customers!$I$2:$I$1001,"")</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ID]],customers!$A$2:$A$1001,customers!$I$2:$I$1001,"")</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ID]],customers!$A$2:$A$1001,customers!$I$2:$I$1001,"")</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ID]],customers!$A$2:$A$1001,customers!$I$2:$I$1001,"")</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ID]],customers!$A$2:$A$1001,customers!$I$2:$I$1001,"")</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ID]],customers!$A$2:$A$1001,customers!$I$2:$I$1001,"")</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ID]],customers!$A$2:$A$1001,customers!$I$2:$I$1001,"")</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ID]],customers!$A$2:$A$1001,customers!$I$2:$I$1001,"")</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ID]],customers!$A$2:$A$1001,customers!$I$2:$I$1001,"")</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ID]],customers!$A$2:$A$1001,customers!$I$2:$I$1001,"")</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ID]],customers!$A$2:$A$1001,customers!$I$2:$I$1001,"")</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ID]],customers!$A$2:$A$1001,customers!$I$2:$I$1001,"")</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ID]],customers!$A$2:$A$1001,customers!$I$2:$I$1001,"")</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ID]],customers!$A$2:$A$1001,customers!$I$2:$I$1001,"")</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 = "Rob", "Robusta",IF(I579 = "Exc","Excelsa",IF(I579= "Ara","Arabica",IF(I579="Lib","Liberica",""))))</f>
        <v>Liberica</v>
      </c>
      <c r="O579" t="str">
        <f t="shared" ref="O579:O642" si="29">IF(J579="M","Medium",IF(J579="L","Light",IF(J579="D","Dark","")))</f>
        <v>Medium</v>
      </c>
      <c r="P579" t="str">
        <f>_xlfn.XLOOKUP(Orders[[#This Row],[Customer ID]],customers!$A$2:$A$1001,customers!$I$2:$I$1001,"")</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ID]],customers!$A$2:$A$1001,customers!$I$2:$I$1001,"")</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ID]],customers!$A$2:$A$1001,customers!$I$2:$I$1001,"")</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ID]],customers!$A$2:$A$1001,customers!$I$2:$I$1001,"")</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ID]],customers!$A$2:$A$1001,customers!$I$2:$I$1001,"")</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ID]],customers!$A$2:$A$1001,customers!$I$2:$I$1001,"")</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ID]],customers!$A$2:$A$1001,customers!$I$2:$I$1001,"")</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ID]],customers!$A$2:$A$1001,customers!$I$2:$I$1001,"")</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ID]],customers!$A$2:$A$1001,customers!$I$2:$I$1001,"")</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ID]],customers!$A$2:$A$1001,customers!$I$2:$I$1001,"")</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ID]],customers!$A$2:$A$1001,customers!$I$2:$I$1001,"")</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ID]],customers!$A$2:$A$1001,customers!$I$2:$I$1001,"")</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ID]],customers!$A$2:$A$1001,customers!$I$2:$I$1001,"")</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ID]],customers!$A$2:$A$1001,customers!$I$2:$I$1001,"")</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ID]],customers!$A$2:$A$1001,customers!$I$2:$I$1001,"")</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ID]],customers!$A$2:$A$1001,customers!$I$2:$I$1001,"")</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ID]],customers!$A$2:$A$1001,customers!$I$2:$I$1001,"")</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ID]],customers!$A$2:$A$1001,customers!$I$2:$I$1001,"")</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ID]],customers!$A$2:$A$1001,customers!$I$2:$I$1001,"")</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ID]],customers!$A$2:$A$1001,customers!$I$2:$I$1001,"")</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ID]],customers!$A$2:$A$1001,customers!$I$2:$I$1001,"")</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ID]],customers!$A$2:$A$1001,customers!$I$2:$I$1001,"")</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ID]],customers!$A$2:$A$1001,customers!$I$2:$I$1001,"")</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ID]],customers!$A$2:$A$1001,customers!$I$2:$I$1001,"")</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ID]],customers!$A$2:$A$1001,customers!$I$2:$I$1001,"")</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ID]],customers!$A$2:$A$1001,customers!$I$2:$I$1001,"")</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ID]],customers!$A$2:$A$1001,customers!$I$2:$I$1001,"")</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ID]],customers!$A$2:$A$1001,customers!$I$2:$I$1001,"")</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ID]],customers!$A$2:$A$1001,customers!$I$2:$I$1001,"")</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ID]],customers!$A$2:$A$1001,customers!$I$2:$I$1001,"")</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ID]],customers!$A$2:$A$1001,customers!$I$2:$I$1001,"")</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ID]],customers!$A$2:$A$1001,customers!$I$2:$I$1001,"")</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ID]],customers!$A$2:$A$1001,customers!$I$2:$I$1001,"")</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ID]],customers!$A$2:$A$1001,customers!$I$2:$I$1001,"")</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ID]],customers!$A$2:$A$1001,customers!$I$2:$I$1001,"")</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ID]],customers!$A$2:$A$1001,customers!$I$2:$I$1001,"")</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ID]],customers!$A$2:$A$1001,customers!$I$2:$I$1001,"")</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ID]],customers!$A$2:$A$1001,customers!$I$2:$I$1001,"")</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ID]],customers!$A$2:$A$1001,customers!$I$2:$I$1001,"")</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ID]],customers!$A$2:$A$1001,customers!$I$2:$I$1001,"")</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ID]],customers!$A$2:$A$1001,customers!$I$2:$I$1001,"")</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ID]],customers!$A$2:$A$1001,customers!$I$2:$I$1001,"")</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ID]],customers!$A$2:$A$1001,customers!$I$2:$I$1001,"")</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ID]],customers!$A$2:$A$1001,customers!$I$2:$I$1001,"")</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ID]],customers!$A$2:$A$1001,customers!$I$2:$I$1001,"")</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ID]],customers!$A$2:$A$1001,customers!$I$2:$I$1001,"")</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ID]],customers!$A$2:$A$1001,customers!$I$2:$I$1001,"")</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ID]],customers!$A$2:$A$1001,customers!$I$2:$I$1001,"")</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ID]],customers!$A$2:$A$1001,customers!$I$2:$I$1001,"")</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ID]],customers!$A$2:$A$1001,customers!$I$2:$I$1001,"")</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ID]],customers!$A$2:$A$1001,customers!$I$2:$I$1001,"")</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ID]],customers!$A$2:$A$1001,customers!$I$2:$I$1001,"")</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ID]],customers!$A$2:$A$1001,customers!$I$2:$I$1001,"")</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ID]],customers!$A$2:$A$1001,customers!$I$2:$I$1001,"")</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ID]],customers!$A$2:$A$1001,customers!$I$2:$I$1001,"")</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ID]],customers!$A$2:$A$1001,customers!$I$2:$I$1001,"")</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ID]],customers!$A$2:$A$1001,customers!$I$2:$I$1001,"")</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ID]],customers!$A$2:$A$1001,customers!$I$2:$I$1001,"")</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ID]],customers!$A$2:$A$1001,customers!$I$2:$I$1001,"")</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ID]],customers!$A$2:$A$1001,customers!$I$2:$I$1001,"")</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ID]],customers!$A$2:$A$1001,customers!$I$2:$I$1001,"")</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ID]],customers!$A$2:$A$1001,customers!$I$2:$I$1001,"")</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ID]],customers!$A$2:$A$1001,customers!$I$2:$I$1001,"")</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ID]],customers!$A$2:$A$1001,customers!$I$2:$I$1001,"")</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 = "Rob", "Robusta",IF(I643 = "Exc","Excelsa",IF(I643= "Ara","Arabica",IF(I643="Lib","Liberica",""))))</f>
        <v>Robusta</v>
      </c>
      <c r="O643" t="str">
        <f t="shared" ref="O643:O706" si="32">IF(J643="M","Medium",IF(J643="L","Light",IF(J643="D","Dark","")))</f>
        <v>Light</v>
      </c>
      <c r="P643" t="str">
        <f>_xlfn.XLOOKUP(Orders[[#This Row],[Customer ID]],customers!$A$2:$A$1001,customers!$I$2:$I$1001,"")</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ID]],customers!$A$2:$A$1001,customers!$I$2:$I$1001,"")</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ID]],customers!$A$2:$A$1001,customers!$I$2:$I$1001,"")</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ID]],customers!$A$2:$A$1001,customers!$I$2:$I$1001,"")</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ID]],customers!$A$2:$A$1001,customers!$I$2:$I$1001,"")</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ID]],customers!$A$2:$A$1001,customers!$I$2:$I$1001,"")</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ID]],customers!$A$2:$A$1001,customers!$I$2:$I$1001,"")</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ID]],customers!$A$2:$A$1001,customers!$I$2:$I$1001,"")</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ID]],customers!$A$2:$A$1001,customers!$I$2:$I$1001,"")</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ID]],customers!$A$2:$A$1001,customers!$I$2:$I$1001,"")</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ID]],customers!$A$2:$A$1001,customers!$I$2:$I$1001,"")</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ID]],customers!$A$2:$A$1001,customers!$I$2:$I$1001,"")</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ID]],customers!$A$2:$A$1001,customers!$I$2:$I$1001,"")</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ID]],customers!$A$2:$A$1001,customers!$I$2:$I$1001,"")</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ID]],customers!$A$2:$A$1001,customers!$I$2:$I$1001,"")</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ID]],customers!$A$2:$A$1001,customers!$I$2:$I$1001,"")</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ID]],customers!$A$2:$A$1001,customers!$I$2:$I$1001,"")</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ID]],customers!$A$2:$A$1001,customers!$I$2:$I$1001,"")</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ID]],customers!$A$2:$A$1001,customers!$I$2:$I$1001,"")</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ID]],customers!$A$2:$A$1001,customers!$I$2:$I$1001,"")</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ID]],customers!$A$2:$A$1001,customers!$I$2:$I$1001,"")</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ID]],customers!$A$2:$A$1001,customers!$I$2:$I$1001,"")</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ID]],customers!$A$2:$A$1001,customers!$I$2:$I$1001,"")</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ID]],customers!$A$2:$A$1001,customers!$I$2:$I$1001,"")</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ID]],customers!$A$2:$A$1001,customers!$I$2:$I$1001,"")</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ID]],customers!$A$2:$A$1001,customers!$I$2:$I$1001,"")</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ID]],customers!$A$2:$A$1001,customers!$I$2:$I$1001,"")</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ID]],customers!$A$2:$A$1001,customers!$I$2:$I$1001,"")</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ID]],customers!$A$2:$A$1001,customers!$I$2:$I$1001,"")</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ID]],customers!$A$2:$A$1001,customers!$I$2:$I$1001,"")</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ID]],customers!$A$2:$A$1001,customers!$I$2:$I$1001,"")</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ID]],customers!$A$2:$A$1001,customers!$I$2:$I$1001,"")</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ID]],customers!$A$2:$A$1001,customers!$I$2:$I$1001,"")</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ID]],customers!$A$2:$A$1001,customers!$I$2:$I$1001,"")</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ID]],customers!$A$2:$A$1001,customers!$I$2:$I$1001,"")</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ID]],customers!$A$2:$A$1001,customers!$I$2:$I$1001,"")</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ID]],customers!$A$2:$A$1001,customers!$I$2:$I$1001,"")</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ID]],customers!$A$2:$A$1001,customers!$I$2:$I$1001,"")</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ID]],customers!$A$2:$A$1001,customers!$I$2:$I$1001,"")</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ID]],customers!$A$2:$A$1001,customers!$I$2:$I$1001,"")</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ID]],customers!$A$2:$A$1001,customers!$I$2:$I$1001,"")</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ID]],customers!$A$2:$A$1001,customers!$I$2:$I$1001,"")</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ID]],customers!$A$2:$A$1001,customers!$I$2:$I$1001,"")</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ID]],customers!$A$2:$A$1001,customers!$I$2:$I$1001,"")</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ID]],customers!$A$2:$A$1001,customers!$I$2:$I$1001,"")</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ID]],customers!$A$2:$A$1001,customers!$I$2:$I$1001,"")</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ID]],customers!$A$2:$A$1001,customers!$I$2:$I$1001,"")</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ID]],customers!$A$2:$A$1001,customers!$I$2:$I$1001,"")</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ID]],customers!$A$2:$A$1001,customers!$I$2:$I$1001,"")</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ID]],customers!$A$2:$A$1001,customers!$I$2:$I$1001,"")</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ID]],customers!$A$2:$A$1001,customers!$I$2:$I$1001,"")</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ID]],customers!$A$2:$A$1001,customers!$I$2:$I$1001,"")</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ID]],customers!$A$2:$A$1001,customers!$I$2:$I$1001,"")</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ID]],customers!$A$2:$A$1001,customers!$I$2:$I$1001,"")</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ID]],customers!$A$2:$A$1001,customers!$I$2:$I$1001,"")</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ID]],customers!$A$2:$A$1001,customers!$I$2:$I$1001,"")</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ID]],customers!$A$2:$A$1001,customers!$I$2:$I$1001,"")</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ID]],customers!$A$2:$A$1001,customers!$I$2:$I$1001,"")</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ID]],customers!$A$2:$A$1001,customers!$I$2:$I$1001,"")</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ID]],customers!$A$2:$A$1001,customers!$I$2:$I$1001,"")</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ID]],customers!$A$2:$A$1001,customers!$I$2:$I$1001,"")</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ID]],customers!$A$2:$A$1001,customers!$I$2:$I$1001,"")</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ID]],customers!$A$2:$A$1001,customers!$I$2:$I$1001,"")</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ID]],customers!$A$2:$A$1001,customers!$I$2:$I$1001,"")</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 = "Rob", "Robusta",IF(I707 = "Exc","Excelsa",IF(I707= "Ara","Arabica",IF(I707="Lib","Liberica",""))))</f>
        <v>Excelsa</v>
      </c>
      <c r="O707" t="str">
        <f t="shared" ref="O707:O770" si="35">IF(J707="M","Medium",IF(J707="L","Light",IF(J707="D","Dark","")))</f>
        <v>Light</v>
      </c>
      <c r="P707" t="str">
        <f>_xlfn.XLOOKUP(Orders[[#This Row],[Customer ID]],customers!$A$2:$A$1001,customers!$I$2:$I$1001,"")</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ID]],customers!$A$2:$A$1001,customers!$I$2:$I$1001,"")</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ID]],customers!$A$2:$A$1001,customers!$I$2:$I$1001,"")</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ID]],customers!$A$2:$A$1001,customers!$I$2:$I$1001,"")</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ID]],customers!$A$2:$A$1001,customers!$I$2:$I$1001,"")</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ID]],customers!$A$2:$A$1001,customers!$I$2:$I$1001,"")</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ID]],customers!$A$2:$A$1001,customers!$I$2:$I$1001,"")</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ID]],customers!$A$2:$A$1001,customers!$I$2:$I$1001,"")</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ID]],customers!$A$2:$A$1001,customers!$I$2:$I$1001,"")</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ID]],customers!$A$2:$A$1001,customers!$I$2:$I$1001,"")</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ID]],customers!$A$2:$A$1001,customers!$I$2:$I$1001,"")</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ID]],customers!$A$2:$A$1001,customers!$I$2:$I$1001,"")</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ID]],customers!$A$2:$A$1001,customers!$I$2:$I$1001,"")</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ID]],customers!$A$2:$A$1001,customers!$I$2:$I$1001,"")</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ID]],customers!$A$2:$A$1001,customers!$I$2:$I$1001,"")</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ID]],customers!$A$2:$A$1001,customers!$I$2:$I$1001,"")</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ID]],customers!$A$2:$A$1001,customers!$I$2:$I$1001,"")</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ID]],customers!$A$2:$A$1001,customers!$I$2:$I$1001,"")</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ID]],customers!$A$2:$A$1001,customers!$I$2:$I$1001,"")</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ID]],customers!$A$2:$A$1001,customers!$I$2:$I$1001,"")</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ID]],customers!$A$2:$A$1001,customers!$I$2:$I$1001,"")</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ID]],customers!$A$2:$A$1001,customers!$I$2:$I$1001,"")</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ID]],customers!$A$2:$A$1001,customers!$I$2:$I$1001,"")</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ID]],customers!$A$2:$A$1001,customers!$I$2:$I$1001,"")</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ID]],customers!$A$2:$A$1001,customers!$I$2:$I$1001,"")</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ID]],customers!$A$2:$A$1001,customers!$I$2:$I$1001,"")</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ID]],customers!$A$2:$A$1001,customers!$I$2:$I$1001,"")</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ID]],customers!$A$2:$A$1001,customers!$I$2:$I$1001,"")</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ID]],customers!$A$2:$A$1001,customers!$I$2:$I$1001,"")</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ID]],customers!$A$2:$A$1001,customers!$I$2:$I$1001,"")</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ID]],customers!$A$2:$A$1001,customers!$I$2:$I$1001,"")</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ID]],customers!$A$2:$A$1001,customers!$I$2:$I$1001,"")</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ID]],customers!$A$2:$A$1001,customers!$I$2:$I$1001,"")</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ID]],customers!$A$2:$A$1001,customers!$I$2:$I$1001,"")</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ID]],customers!$A$2:$A$1001,customers!$I$2:$I$1001,"")</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ID]],customers!$A$2:$A$1001,customers!$I$2:$I$1001,"")</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ID]],customers!$A$2:$A$1001,customers!$I$2:$I$1001,"")</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ID]],customers!$A$2:$A$1001,customers!$I$2:$I$1001,"")</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ID]],customers!$A$2:$A$1001,customers!$I$2:$I$1001,"")</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ID]],customers!$A$2:$A$1001,customers!$I$2:$I$1001,"")</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ID]],customers!$A$2:$A$1001,customers!$I$2:$I$1001,"")</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ID]],customers!$A$2:$A$1001,customers!$I$2:$I$1001,"")</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ID]],customers!$A$2:$A$1001,customers!$I$2:$I$1001,"")</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ID]],customers!$A$2:$A$1001,customers!$I$2:$I$1001,"")</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ID]],customers!$A$2:$A$1001,customers!$I$2:$I$1001,"")</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ID]],customers!$A$2:$A$1001,customers!$I$2:$I$1001,"")</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ID]],customers!$A$2:$A$1001,customers!$I$2:$I$1001,"")</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ID]],customers!$A$2:$A$1001,customers!$I$2:$I$1001,"")</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ID]],customers!$A$2:$A$1001,customers!$I$2:$I$1001,"")</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ID]],customers!$A$2:$A$1001,customers!$I$2:$I$1001,"")</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ID]],customers!$A$2:$A$1001,customers!$I$2:$I$1001,"")</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ID]],customers!$A$2:$A$1001,customers!$I$2:$I$1001,"")</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ID]],customers!$A$2:$A$1001,customers!$I$2:$I$1001,"")</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ID]],customers!$A$2:$A$1001,customers!$I$2:$I$1001,"")</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ID]],customers!$A$2:$A$1001,customers!$I$2:$I$1001,"")</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ID]],customers!$A$2:$A$1001,customers!$I$2:$I$1001,"")</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ID]],customers!$A$2:$A$1001,customers!$I$2:$I$1001,"")</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ID]],customers!$A$2:$A$1001,customers!$I$2:$I$1001,"")</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ID]],customers!$A$2:$A$1001,customers!$I$2:$I$1001,"")</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ID]],customers!$A$2:$A$1001,customers!$I$2:$I$1001,"")</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ID]],customers!$A$2:$A$1001,customers!$I$2:$I$1001,"")</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ID]],customers!$A$2:$A$1001,customers!$I$2:$I$1001,"")</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ID]],customers!$A$2:$A$1001,customers!$I$2:$I$1001,"")</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ID]],customers!$A$2:$A$1001,customers!$I$2:$I$1001,"")</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 = "Rob", "Robusta",IF(I771 = "Exc","Excelsa",IF(I771= "Ara","Arabica",IF(I771="Lib","Liberica",""))))</f>
        <v>Robusta</v>
      </c>
      <c r="O771" t="str">
        <f t="shared" ref="O771:O834" si="38">IF(J771="M","Medium",IF(J771="L","Light",IF(J771="D","Dark","")))</f>
        <v>Medium</v>
      </c>
      <c r="P771" t="str">
        <f>_xlfn.XLOOKUP(Orders[[#This Row],[Customer ID]],customers!$A$2:$A$1001,customers!$I$2:$I$1001,"")</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ID]],customers!$A$2:$A$1001,customers!$I$2:$I$1001,"")</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ID]],customers!$A$2:$A$1001,customers!$I$2:$I$1001,"")</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ID]],customers!$A$2:$A$1001,customers!$I$2:$I$1001,"")</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ID]],customers!$A$2:$A$1001,customers!$I$2:$I$1001,"")</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ID]],customers!$A$2:$A$1001,customers!$I$2:$I$1001,"")</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ID]],customers!$A$2:$A$1001,customers!$I$2:$I$1001,"")</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ID]],customers!$A$2:$A$1001,customers!$I$2:$I$1001,"")</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ID]],customers!$A$2:$A$1001,customers!$I$2:$I$1001,"")</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ID]],customers!$A$2:$A$1001,customers!$I$2:$I$1001,"")</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ID]],customers!$A$2:$A$1001,customers!$I$2:$I$1001,"")</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ID]],customers!$A$2:$A$1001,customers!$I$2:$I$1001,"")</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ID]],customers!$A$2:$A$1001,customers!$I$2:$I$1001,"")</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ID]],customers!$A$2:$A$1001,customers!$I$2:$I$1001,"")</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ID]],customers!$A$2:$A$1001,customers!$I$2:$I$1001,"")</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ID]],customers!$A$2:$A$1001,customers!$I$2:$I$1001,"")</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ID]],customers!$A$2:$A$1001,customers!$I$2:$I$1001,"")</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ID]],customers!$A$2:$A$1001,customers!$I$2:$I$1001,"")</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ID]],customers!$A$2:$A$1001,customers!$I$2:$I$1001,"")</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ID]],customers!$A$2:$A$1001,customers!$I$2:$I$1001,"")</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ID]],customers!$A$2:$A$1001,customers!$I$2:$I$1001,"")</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ID]],customers!$A$2:$A$1001,customers!$I$2:$I$1001,"")</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ID]],customers!$A$2:$A$1001,customers!$I$2:$I$1001,"")</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ID]],customers!$A$2:$A$1001,customers!$I$2:$I$1001,"")</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ID]],customers!$A$2:$A$1001,customers!$I$2:$I$1001,"")</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ID]],customers!$A$2:$A$1001,customers!$I$2:$I$1001,"")</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ID]],customers!$A$2:$A$1001,customers!$I$2:$I$1001,"")</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ID]],customers!$A$2:$A$1001,customers!$I$2:$I$1001,"")</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ID]],customers!$A$2:$A$1001,customers!$I$2:$I$1001,"")</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ID]],customers!$A$2:$A$1001,customers!$I$2:$I$1001,"")</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ID]],customers!$A$2:$A$1001,customers!$I$2:$I$1001,"")</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ID]],customers!$A$2:$A$1001,customers!$I$2:$I$1001,"")</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ID]],customers!$A$2:$A$1001,customers!$I$2:$I$1001,"")</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ID]],customers!$A$2:$A$1001,customers!$I$2:$I$1001,"")</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ID]],customers!$A$2:$A$1001,customers!$I$2:$I$1001,"")</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ID]],customers!$A$2:$A$1001,customers!$I$2:$I$1001,"")</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ID]],customers!$A$2:$A$1001,customers!$I$2:$I$1001,"")</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ID]],customers!$A$2:$A$1001,customers!$I$2:$I$1001,"")</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ID]],customers!$A$2:$A$1001,customers!$I$2:$I$1001,"")</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ID]],customers!$A$2:$A$1001,customers!$I$2:$I$1001,"")</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ID]],customers!$A$2:$A$1001,customers!$I$2:$I$1001,"")</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ID]],customers!$A$2:$A$1001,customers!$I$2:$I$1001,"")</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ID]],customers!$A$2:$A$1001,customers!$I$2:$I$1001,"")</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ID]],customers!$A$2:$A$1001,customers!$I$2:$I$1001,"")</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ID]],customers!$A$2:$A$1001,customers!$I$2:$I$1001,"")</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ID]],customers!$A$2:$A$1001,customers!$I$2:$I$1001,"")</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ID]],customers!$A$2:$A$1001,customers!$I$2:$I$1001,"")</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ID]],customers!$A$2:$A$1001,customers!$I$2:$I$1001,"")</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ID]],customers!$A$2:$A$1001,customers!$I$2:$I$1001,"")</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ID]],customers!$A$2:$A$1001,customers!$I$2:$I$1001,"")</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ID]],customers!$A$2:$A$1001,customers!$I$2:$I$1001,"")</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ID]],customers!$A$2:$A$1001,customers!$I$2:$I$1001,"")</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ID]],customers!$A$2:$A$1001,customers!$I$2:$I$1001,"")</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ID]],customers!$A$2:$A$1001,customers!$I$2:$I$1001,"")</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ID]],customers!$A$2:$A$1001,customers!$I$2:$I$1001,"")</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ID]],customers!$A$2:$A$1001,customers!$I$2:$I$1001,"")</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ID]],customers!$A$2:$A$1001,customers!$I$2:$I$1001,"")</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ID]],customers!$A$2:$A$1001,customers!$I$2:$I$1001,"")</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ID]],customers!$A$2:$A$1001,customers!$I$2:$I$1001,"")</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ID]],customers!$A$2:$A$1001,customers!$I$2:$I$1001,"")</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ID]],customers!$A$2:$A$1001,customers!$I$2:$I$1001,"")</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ID]],customers!$A$2:$A$1001,customers!$I$2:$I$1001,"")</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ID]],customers!$A$2:$A$1001,customers!$I$2:$I$1001,"")</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ID]],customers!$A$2:$A$1001,customers!$I$2:$I$1001,"")</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 = "Rob", "Robusta",IF(I835 = "Exc","Excelsa",IF(I835= "Ara","Arabica",IF(I835="Lib","Liberica",""))))</f>
        <v>Robusta</v>
      </c>
      <c r="O835" t="str">
        <f t="shared" ref="O835:O898" si="41">IF(J835="M","Medium",IF(J835="L","Light",IF(J835="D","Dark","")))</f>
        <v>Dark</v>
      </c>
      <c r="P835" t="str">
        <f>_xlfn.XLOOKUP(Orders[[#This Row],[Customer ID]],customers!$A$2:$A$1001,customers!$I$2:$I$1001,"")</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ID]],customers!$A$2:$A$1001,customers!$I$2:$I$1001,"")</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ID]],customers!$A$2:$A$1001,customers!$I$2:$I$1001,"")</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ID]],customers!$A$2:$A$1001,customers!$I$2:$I$1001,"")</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ID]],customers!$A$2:$A$1001,customers!$I$2:$I$1001,"")</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ID]],customers!$A$2:$A$1001,customers!$I$2:$I$1001,"")</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ID]],customers!$A$2:$A$1001,customers!$I$2:$I$1001,"")</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ID]],customers!$A$2:$A$1001,customers!$I$2:$I$1001,"")</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ID]],customers!$A$2:$A$1001,customers!$I$2:$I$1001,"")</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ID]],customers!$A$2:$A$1001,customers!$I$2:$I$1001,"")</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ID]],customers!$A$2:$A$1001,customers!$I$2:$I$1001,"")</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ID]],customers!$A$2:$A$1001,customers!$I$2:$I$1001,"")</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ID]],customers!$A$2:$A$1001,customers!$I$2:$I$1001,"")</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ID]],customers!$A$2:$A$1001,customers!$I$2:$I$1001,"")</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ID]],customers!$A$2:$A$1001,customers!$I$2:$I$1001,"")</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ID]],customers!$A$2:$A$1001,customers!$I$2:$I$1001,"")</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ID]],customers!$A$2:$A$1001,customers!$I$2:$I$1001,"")</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ID]],customers!$A$2:$A$1001,customers!$I$2:$I$1001,"")</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ID]],customers!$A$2:$A$1001,customers!$I$2:$I$1001,"")</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ID]],customers!$A$2:$A$1001,customers!$I$2:$I$1001,"")</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ID]],customers!$A$2:$A$1001,customers!$I$2:$I$1001,"")</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ID]],customers!$A$2:$A$1001,customers!$I$2:$I$1001,"")</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ID]],customers!$A$2:$A$1001,customers!$I$2:$I$1001,"")</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ID]],customers!$A$2:$A$1001,customers!$I$2:$I$1001,"")</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ID]],customers!$A$2:$A$1001,customers!$I$2:$I$1001,"")</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ID]],customers!$A$2:$A$1001,customers!$I$2:$I$1001,"")</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ID]],customers!$A$2:$A$1001,customers!$I$2:$I$1001,"")</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ID]],customers!$A$2:$A$1001,customers!$I$2:$I$1001,"")</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ID]],customers!$A$2:$A$1001,customers!$I$2:$I$1001,"")</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ID]],customers!$A$2:$A$1001,customers!$I$2:$I$1001,"")</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ID]],customers!$A$2:$A$1001,customers!$I$2:$I$1001,"")</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ID]],customers!$A$2:$A$1001,customers!$I$2:$I$1001,"")</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ID]],customers!$A$2:$A$1001,customers!$I$2:$I$1001,"")</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ID]],customers!$A$2:$A$1001,customers!$I$2:$I$1001,"")</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ID]],customers!$A$2:$A$1001,customers!$I$2:$I$1001,"")</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ID]],customers!$A$2:$A$1001,customers!$I$2:$I$1001,"")</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ID]],customers!$A$2:$A$1001,customers!$I$2:$I$1001,"")</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ID]],customers!$A$2:$A$1001,customers!$I$2:$I$1001,"")</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ID]],customers!$A$2:$A$1001,customers!$I$2:$I$1001,"")</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ID]],customers!$A$2:$A$1001,customers!$I$2:$I$1001,"")</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ID]],customers!$A$2:$A$1001,customers!$I$2:$I$1001,"")</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ID]],customers!$A$2:$A$1001,customers!$I$2:$I$1001,"")</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ID]],customers!$A$2:$A$1001,customers!$I$2:$I$1001,"")</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ID]],customers!$A$2:$A$1001,customers!$I$2:$I$1001,"")</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ID]],customers!$A$2:$A$1001,customers!$I$2:$I$1001,"")</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ID]],customers!$A$2:$A$1001,customers!$I$2:$I$1001,"")</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ID]],customers!$A$2:$A$1001,customers!$I$2:$I$1001,"")</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ID]],customers!$A$2:$A$1001,customers!$I$2:$I$1001,"")</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ID]],customers!$A$2:$A$1001,customers!$I$2:$I$1001,"")</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ID]],customers!$A$2:$A$1001,customers!$I$2:$I$1001,"")</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ID]],customers!$A$2:$A$1001,customers!$I$2:$I$1001,"")</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ID]],customers!$A$2:$A$1001,customers!$I$2:$I$1001,"")</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ID]],customers!$A$2:$A$1001,customers!$I$2:$I$1001,"")</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ID]],customers!$A$2:$A$1001,customers!$I$2:$I$1001,"")</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ID]],customers!$A$2:$A$1001,customers!$I$2:$I$1001,"")</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ID]],customers!$A$2:$A$1001,customers!$I$2:$I$1001,"")</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ID]],customers!$A$2:$A$1001,customers!$I$2:$I$1001,"")</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ID]],customers!$A$2:$A$1001,customers!$I$2:$I$1001,"")</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ID]],customers!$A$2:$A$1001,customers!$I$2:$I$1001,"")</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ID]],customers!$A$2:$A$1001,customers!$I$2:$I$1001,"")</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ID]],customers!$A$2:$A$1001,customers!$I$2:$I$1001,"")</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ID]],customers!$A$2:$A$1001,customers!$I$2:$I$1001,"")</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ID]],customers!$A$2:$A$1001,customers!$I$2:$I$1001,"")</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ID]],customers!$A$2:$A$1001,customers!$I$2:$I$1001,"")</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 = "Rob", "Robusta",IF(I899 = "Exc","Excelsa",IF(I899= "Ara","Arabica",IF(I899="Lib","Liberica",""))))</f>
        <v>Excelsa</v>
      </c>
      <c r="O899" t="str">
        <f t="shared" ref="O899:O962" si="44">IF(J899="M","Medium",IF(J899="L","Light",IF(J899="D","Dark","")))</f>
        <v>Dark</v>
      </c>
      <c r="P899" t="str">
        <f>_xlfn.XLOOKUP(Orders[[#This Row],[Customer ID]],customers!$A$2:$A$1001,customers!$I$2:$I$1001,"")</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ID]],customers!$A$2:$A$1001,customers!$I$2:$I$1001,"")</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ID]],customers!$A$2:$A$1001,customers!$I$2:$I$1001,"")</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ID]],customers!$A$2:$A$1001,customers!$I$2:$I$1001,"")</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ID]],customers!$A$2:$A$1001,customers!$I$2:$I$1001,"")</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ID]],customers!$A$2:$A$1001,customers!$I$2:$I$1001,"")</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ID]],customers!$A$2:$A$1001,customers!$I$2:$I$1001,"")</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ID]],customers!$A$2:$A$1001,customers!$I$2:$I$1001,"")</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ID]],customers!$A$2:$A$1001,customers!$I$2:$I$1001,"")</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ID]],customers!$A$2:$A$1001,customers!$I$2:$I$1001,"")</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ID]],customers!$A$2:$A$1001,customers!$I$2:$I$1001,"")</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ID]],customers!$A$2:$A$1001,customers!$I$2:$I$1001,"")</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ID]],customers!$A$2:$A$1001,customers!$I$2:$I$1001,"")</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ID]],customers!$A$2:$A$1001,customers!$I$2:$I$1001,"")</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ID]],customers!$A$2:$A$1001,customers!$I$2:$I$1001,"")</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ID]],customers!$A$2:$A$1001,customers!$I$2:$I$1001,"")</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ID]],customers!$A$2:$A$1001,customers!$I$2:$I$1001,"")</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ID]],customers!$A$2:$A$1001,customers!$I$2:$I$1001,"")</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ID]],customers!$A$2:$A$1001,customers!$I$2:$I$1001,"")</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ID]],customers!$A$2:$A$1001,customers!$I$2:$I$1001,"")</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ID]],customers!$A$2:$A$1001,customers!$I$2:$I$1001,"")</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ID]],customers!$A$2:$A$1001,customers!$I$2:$I$1001,"")</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ID]],customers!$A$2:$A$1001,customers!$I$2:$I$1001,"")</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ID]],customers!$A$2:$A$1001,customers!$I$2:$I$1001,"")</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ID]],customers!$A$2:$A$1001,customers!$I$2:$I$1001,"")</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ID]],customers!$A$2:$A$1001,customers!$I$2:$I$1001,"")</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ID]],customers!$A$2:$A$1001,customers!$I$2:$I$1001,"")</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ID]],customers!$A$2:$A$1001,customers!$I$2:$I$1001,"")</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ID]],customers!$A$2:$A$1001,customers!$I$2:$I$1001,"")</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ID]],customers!$A$2:$A$1001,customers!$I$2:$I$1001,"")</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ID]],customers!$A$2:$A$1001,customers!$I$2:$I$1001,"")</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ID]],customers!$A$2:$A$1001,customers!$I$2:$I$1001,"")</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ID]],customers!$A$2:$A$1001,customers!$I$2:$I$1001,"")</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ID]],customers!$A$2:$A$1001,customers!$I$2:$I$1001,"")</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ID]],customers!$A$2:$A$1001,customers!$I$2:$I$1001,"")</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ID]],customers!$A$2:$A$1001,customers!$I$2:$I$1001,"")</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ID]],customers!$A$2:$A$1001,customers!$I$2:$I$1001,"")</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ID]],customers!$A$2:$A$1001,customers!$I$2:$I$1001,"")</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ID]],customers!$A$2:$A$1001,customers!$I$2:$I$1001,"")</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ID]],customers!$A$2:$A$1001,customers!$I$2:$I$1001,"")</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ID]],customers!$A$2:$A$1001,customers!$I$2:$I$1001,"")</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ID]],customers!$A$2:$A$1001,customers!$I$2:$I$1001,"")</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ID]],customers!$A$2:$A$1001,customers!$I$2:$I$1001,"")</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ID]],customers!$A$2:$A$1001,customers!$I$2:$I$1001,"")</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ID]],customers!$A$2:$A$1001,customers!$I$2:$I$1001,"")</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ID]],customers!$A$2:$A$1001,customers!$I$2:$I$1001,"")</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ID]],customers!$A$2:$A$1001,customers!$I$2:$I$1001,"")</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ID]],customers!$A$2:$A$1001,customers!$I$2:$I$1001,"")</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ID]],customers!$A$2:$A$1001,customers!$I$2:$I$1001,"")</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ID]],customers!$A$2:$A$1001,customers!$I$2:$I$1001,"")</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ID]],customers!$A$2:$A$1001,customers!$I$2:$I$1001,"")</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ID]],customers!$A$2:$A$1001,customers!$I$2:$I$1001,"")</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ID]],customers!$A$2:$A$1001,customers!$I$2:$I$1001,"")</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ID]],customers!$A$2:$A$1001,customers!$I$2:$I$1001,"")</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ID]],customers!$A$2:$A$1001,customers!$I$2:$I$1001,"")</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ID]],customers!$A$2:$A$1001,customers!$I$2:$I$1001,"")</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ID]],customers!$A$2:$A$1001,customers!$I$2:$I$1001,"")</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ID]],customers!$A$2:$A$1001,customers!$I$2:$I$1001,"")</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ID]],customers!$A$2:$A$1001,customers!$I$2:$I$1001,"")</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ID]],customers!$A$2:$A$1001,customers!$I$2:$I$1001,"")</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ID]],customers!$A$2:$A$1001,customers!$I$2:$I$1001,"")</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ID]],customers!$A$2:$A$1001,customers!$I$2:$I$1001,"")</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ID]],customers!$A$2:$A$1001,customers!$I$2:$I$1001,"")</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ID]],customers!$A$2:$A$1001,customers!$I$2:$I$1001,"")</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 = "Rob", "Robusta",IF(I963 = "Exc","Excelsa",IF(I963= "Ara","Arabica",IF(I963="Lib","Liberica",""))))</f>
        <v>Arabica</v>
      </c>
      <c r="O963" t="str">
        <f t="shared" ref="O963:O1001" si="47">IF(J963="M","Medium",IF(J963="L","Light",IF(J963="D","Dark","")))</f>
        <v>Dark</v>
      </c>
      <c r="P963" t="str">
        <f>_xlfn.XLOOKUP(Orders[[#This Row],[Customer ID]],customers!$A$2:$A$1001,customers!$I$2:$I$1001,"")</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ID]],customers!$A$2:$A$1001,customers!$I$2:$I$1001,"")</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ID]],customers!$A$2:$A$1001,customers!$I$2:$I$1001,"")</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ID]],customers!$A$2:$A$1001,customers!$I$2:$I$1001,"")</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ID]],customers!$A$2:$A$1001,customers!$I$2:$I$1001,"")</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ID]],customers!$A$2:$A$1001,customers!$I$2:$I$1001,"")</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ID]],customers!$A$2:$A$1001,customers!$I$2:$I$1001,"")</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ID]],customers!$A$2:$A$1001,customers!$I$2:$I$1001,"")</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ID]],customers!$A$2:$A$1001,customers!$I$2:$I$1001,"")</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ID]],customers!$A$2:$A$1001,customers!$I$2:$I$1001,"")</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ID]],customers!$A$2:$A$1001,customers!$I$2:$I$1001,"")</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ID]],customers!$A$2:$A$1001,customers!$I$2:$I$1001,"")</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ID]],customers!$A$2:$A$1001,customers!$I$2:$I$1001,"")</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ID]],customers!$A$2:$A$1001,customers!$I$2:$I$1001,"")</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ID]],customers!$A$2:$A$1001,customers!$I$2:$I$1001,"")</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ID]],customers!$A$2:$A$1001,customers!$I$2:$I$1001,"")</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ID]],customers!$A$2:$A$1001,customers!$I$2:$I$1001,"")</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ID]],customers!$A$2:$A$1001,customers!$I$2:$I$1001,"")</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ID]],customers!$A$2:$A$1001,customers!$I$2:$I$1001,"")</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ID]],customers!$A$2:$A$1001,customers!$I$2:$I$1001,"")</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ID]],customers!$A$2:$A$1001,customers!$I$2:$I$1001,"")</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ID]],customers!$A$2:$A$1001,customers!$I$2:$I$1001,"")</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ID]],customers!$A$2:$A$1001,customers!$I$2:$I$1001,"")</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ID]],customers!$A$2:$A$1001,customers!$I$2:$I$1001,"")</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ID]],customers!$A$2:$A$1001,customers!$I$2:$I$1001,"")</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ID]],customers!$A$2:$A$1001,customers!$I$2:$I$1001,"")</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ID]],customers!$A$2:$A$1001,customers!$I$2:$I$1001,"")</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ID]],customers!$A$2:$A$1001,customers!$I$2:$I$1001,"")</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ID]],customers!$A$2:$A$1001,customers!$I$2:$I$1001,"")</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ID]],customers!$A$2:$A$1001,customers!$I$2:$I$1001,"")</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ID]],customers!$A$2:$A$1001,customers!$I$2:$I$1001,"")</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ID]],customers!$A$2:$A$1001,customers!$I$2:$I$1001,"")</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ID]],customers!$A$2:$A$1001,customers!$I$2:$I$1001,"")</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ID]],customers!$A$2:$A$1001,customers!$I$2:$I$1001,"")</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ID]],customers!$A$2:$A$1001,customers!$I$2:$I$1001,"")</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ID]],customers!$A$2:$A$1001,customers!$I$2:$I$1001,"")</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ID]],customers!$A$2:$A$1001,customers!$I$2:$I$1001,"")</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ID]],customers!$A$2:$A$1001,customers!$I$2:$I$1001,"")</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ID]],customers!$A$2:$A$1001,customers!$I$2:$I$1001,"")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 </vt:lpstr>
      <vt:lpstr>CountryBarChart</vt:lpstr>
      <vt:lpstr>CountryBarChart (2)</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aung nyein</cp:lastModifiedBy>
  <cp:revision/>
  <dcterms:created xsi:type="dcterms:W3CDTF">2022-11-26T09:51:45Z</dcterms:created>
  <dcterms:modified xsi:type="dcterms:W3CDTF">2025-11-13T02:08:36Z</dcterms:modified>
  <cp:category/>
  <cp:contentStatus/>
</cp:coreProperties>
</file>